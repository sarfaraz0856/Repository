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llData" displayName="AllData" ref="A1:F11" headerRowCount="1">
  <autoFilter ref="A1:F11"/>
  <tableColumns count="6">
    <tableColumn id="1" name="Date"/>
    <tableColumn id="2" name="Employee Name"/>
    <tableColumn id="3" name="Stock Item"/>
    <tableColumn id="4" name="In Qty"/>
    <tableColumn id="5" name="Out Qty"/>
    <tableColumn id="6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Employee Name</t>
        </is>
      </c>
      <c r="C1" s="1" t="inlineStr">
        <is>
          <t>Stock Item</t>
        </is>
      </c>
      <c r="D1" s="1" t="inlineStr">
        <is>
          <t>In Qty</t>
        </is>
      </c>
      <c r="E1" s="1" t="inlineStr">
        <is>
          <t>Out Qty</t>
        </is>
      </c>
      <c r="F1" s="1" t="inlineStr">
        <is>
          <t>Amount</t>
        </is>
      </c>
    </row>
    <row r="2">
      <c r="A2" s="2" t="n">
        <v>46296</v>
      </c>
      <c r="B2" t="inlineStr">
        <is>
          <t>Rahul Sharma</t>
        </is>
      </c>
      <c r="C2" t="inlineStr">
        <is>
          <t>Laptop</t>
        </is>
      </c>
      <c r="D2" t="n">
        <v>100</v>
      </c>
      <c r="E2" t="n">
        <v>20</v>
      </c>
      <c r="F2" s="3" t="n">
        <v>5000</v>
      </c>
    </row>
    <row r="3">
      <c r="A3" s="2" t="n">
        <v>46296</v>
      </c>
      <c r="B3" t="inlineStr">
        <is>
          <t>Priya Das</t>
        </is>
      </c>
      <c r="C3" t="inlineStr">
        <is>
          <t>Mobile</t>
        </is>
      </c>
      <c r="D3" t="n">
        <v>80</v>
      </c>
      <c r="E3" t="n">
        <v>10</v>
      </c>
      <c r="F3" s="3" t="n">
        <v>6400</v>
      </c>
    </row>
    <row r="4">
      <c r="A4" s="2" t="n">
        <v>46297</v>
      </c>
      <c r="B4" t="inlineStr">
        <is>
          <t>Rahul Sharma</t>
        </is>
      </c>
      <c r="C4" t="inlineStr">
        <is>
          <t>Laptop</t>
        </is>
      </c>
      <c r="D4" t="n">
        <v>50</v>
      </c>
      <c r="E4" t="n">
        <v>15</v>
      </c>
      <c r="F4" s="3" t="n">
        <v>2500</v>
      </c>
    </row>
    <row r="5">
      <c r="A5" s="2" t="n">
        <v>46297</v>
      </c>
      <c r="B5" t="inlineStr">
        <is>
          <t>Aman Khan</t>
        </is>
      </c>
      <c r="C5" t="inlineStr">
        <is>
          <t>Tablet</t>
        </is>
      </c>
      <c r="D5" t="n">
        <v>60</v>
      </c>
      <c r="E5" t="n">
        <v>12</v>
      </c>
      <c r="F5" s="3" t="n">
        <v>7200</v>
      </c>
    </row>
    <row r="6">
      <c r="A6" s="2" t="n">
        <v>46298</v>
      </c>
      <c r="B6" t="inlineStr">
        <is>
          <t>Priya Das</t>
        </is>
      </c>
      <c r="C6" t="inlineStr">
        <is>
          <t>Mobile</t>
        </is>
      </c>
      <c r="D6" t="n">
        <v>40</v>
      </c>
      <c r="E6" t="n">
        <v>5</v>
      </c>
      <c r="F6" s="3" t="n">
        <v>3200</v>
      </c>
    </row>
    <row r="7">
      <c r="A7" s="2" t="n">
        <v>46298</v>
      </c>
      <c r="B7" t="inlineStr">
        <is>
          <t>Rahul Sharma</t>
        </is>
      </c>
      <c r="C7" t="inlineStr">
        <is>
          <t>Tablet</t>
        </is>
      </c>
      <c r="D7" t="n">
        <v>30</v>
      </c>
      <c r="E7" t="n">
        <v>8</v>
      </c>
      <c r="F7" s="3" t="n">
        <v>3600</v>
      </c>
    </row>
    <row r="8">
      <c r="A8" s="2" t="n">
        <v>46299</v>
      </c>
      <c r="B8" t="inlineStr">
        <is>
          <t>Aman Khan</t>
        </is>
      </c>
      <c r="C8" t="inlineStr">
        <is>
          <t>Laptop</t>
        </is>
      </c>
      <c r="D8" t="n">
        <v>70</v>
      </c>
      <c r="E8" t="n">
        <v>20</v>
      </c>
      <c r="F8" s="3" t="n">
        <v>3500</v>
      </c>
    </row>
    <row r="9">
      <c r="A9" s="2" t="n">
        <v>46299</v>
      </c>
      <c r="B9" t="inlineStr">
        <is>
          <t>Priya Das</t>
        </is>
      </c>
      <c r="C9" t="inlineStr">
        <is>
          <t>Mobile</t>
        </is>
      </c>
      <c r="D9" t="n">
        <v>25</v>
      </c>
      <c r="E9" t="n">
        <v>6</v>
      </c>
      <c r="F9" s="3" t="n">
        <v>2000</v>
      </c>
    </row>
    <row r="10">
      <c r="A10" s="2" t="n">
        <v>46300</v>
      </c>
      <c r="B10" t="inlineStr">
        <is>
          <t>Rahul Sharma</t>
        </is>
      </c>
      <c r="C10" t="inlineStr">
        <is>
          <t>Laptop</t>
        </is>
      </c>
      <c r="D10" t="n">
        <v>40</v>
      </c>
      <c r="E10" t="n">
        <v>10</v>
      </c>
      <c r="F10" s="3" t="n">
        <v>2000</v>
      </c>
    </row>
    <row r="11">
      <c r="A11" s="2" t="n">
        <v>46300</v>
      </c>
      <c r="B11" t="inlineStr">
        <is>
          <t>Aman Khan</t>
        </is>
      </c>
      <c r="C11" t="inlineStr">
        <is>
          <t>Tablet</t>
        </is>
      </c>
      <c r="D11" t="n">
        <v>20</v>
      </c>
      <c r="E11" t="n">
        <v>5</v>
      </c>
      <c r="F11" s="3" t="n">
        <v>2400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4" customWidth="1" min="4" max="4"/>
    <col width="14" customWidth="1" min="5" max="5"/>
    <col width="4" customWidth="1" min="6" max="6"/>
    <col width="18" customWidth="1" min="7" max="7"/>
    <col width="13" customWidth="1" min="8" max="8"/>
    <col width="14" customWidth="1" min="9" max="9"/>
    <col width="14" customWidth="1" min="10" max="10"/>
  </cols>
  <sheetData>
    <row r="1">
      <c r="A1" s="4" t="inlineStr">
        <is>
          <t>EMPLOYEE AND STOCK SUMMARY REPORT</t>
        </is>
      </c>
      <c r="G1" s="4" t="inlineStr">
        <is>
          <t>EMPLOYEE-WISE SUMMARY</t>
        </is>
      </c>
    </row>
    <row r="2">
      <c r="A2" s="5" t="inlineStr">
        <is>
          <t>Employee Name</t>
        </is>
      </c>
      <c r="B2" s="5" t="inlineStr">
        <is>
          <t>Stock Item</t>
        </is>
      </c>
      <c r="C2" s="5" t="inlineStr">
        <is>
          <t>Total In Qty</t>
        </is>
      </c>
      <c r="D2" s="5" t="inlineStr">
        <is>
          <t>Total Out Qty</t>
        </is>
      </c>
      <c r="E2" s="5" t="inlineStr">
        <is>
          <t>Total Amount</t>
        </is>
      </c>
      <c r="G2" s="5" t="inlineStr">
        <is>
          <t>Employee Name</t>
        </is>
      </c>
      <c r="H2" s="5" t="inlineStr">
        <is>
          <t>Total In Qty</t>
        </is>
      </c>
      <c r="I2" s="5" t="inlineStr">
        <is>
          <t>Total Out Qty</t>
        </is>
      </c>
      <c r="J2" s="5" t="inlineStr">
        <is>
          <t>Total Amount</t>
        </is>
      </c>
    </row>
    <row r="3">
      <c r="A3" s="6" t="inlineStr">
        <is>
          <t>Rahul Sharma</t>
        </is>
      </c>
      <c r="B3" s="6" t="inlineStr">
        <is>
          <t>Laptop</t>
        </is>
      </c>
      <c r="C3" s="7">
        <f>SUMIFS('All Data'!$D:$D,'All Data'!$B:$B,$A3,'All Data'!$C:$C,$B3)</f>
        <v/>
      </c>
      <c r="D3" s="7">
        <f>SUMIFS('All Data'!$E:$E,'All Data'!$B:$B,$A3,'All Data'!$C:$C,$B3)</f>
        <v/>
      </c>
      <c r="E3" s="7">
        <f>SUMIFS('All Data'!$F:$F,'All Data'!$B:$B,$A3,'All Data'!$C:$C,$B3)</f>
        <v/>
      </c>
      <c r="G3" s="6" t="inlineStr">
        <is>
          <t>Rahul Sharma</t>
        </is>
      </c>
      <c r="H3" s="7">
        <f>SUMIF('All Data'!$B:$B,$G3,'All Data'!$D:$D)</f>
        <v/>
      </c>
      <c r="I3" s="7">
        <f>SUMIF('All Data'!$B:$B,$G3,'All Data'!$E:$E)</f>
        <v/>
      </c>
      <c r="J3" s="7">
        <f>SUMIF('All Data'!$B:$B,$G3,'All Data'!$F:$F)</f>
        <v/>
      </c>
    </row>
    <row r="4">
      <c r="A4" s="6" t="inlineStr">
        <is>
          <t>Rahul Sharma</t>
        </is>
      </c>
      <c r="B4" s="6" t="inlineStr">
        <is>
          <t>Tablet</t>
        </is>
      </c>
      <c r="C4" s="7">
        <f>SUMIFS('All Data'!$D:$D,'All Data'!$B:$B,$A4,'All Data'!$C:$C,$B4)</f>
        <v/>
      </c>
      <c r="D4" s="7">
        <f>SUMIFS('All Data'!$E:$E,'All Data'!$B:$B,$A4,'All Data'!$C:$C,$B4)</f>
        <v/>
      </c>
      <c r="E4" s="7">
        <f>SUMIFS('All Data'!$F:$F,'All Data'!$B:$B,$A4,'All Data'!$C:$C,$B4)</f>
        <v/>
      </c>
      <c r="G4" s="6" t="inlineStr">
        <is>
          <t>Priya Das</t>
        </is>
      </c>
      <c r="H4" s="7">
        <f>SUMIF('All Data'!$B:$B,$G4,'All Data'!$D:$D)</f>
        <v/>
      </c>
      <c r="I4" s="7">
        <f>SUMIF('All Data'!$B:$B,$G4,'All Data'!$E:$E)</f>
        <v/>
      </c>
      <c r="J4" s="7">
        <f>SUMIF('All Data'!$B:$B,$G4,'All Data'!$F:$F)</f>
        <v/>
      </c>
    </row>
    <row r="5">
      <c r="A5" s="6" t="inlineStr">
        <is>
          <t>Priya Das</t>
        </is>
      </c>
      <c r="B5" s="6" t="inlineStr">
        <is>
          <t>Mobile</t>
        </is>
      </c>
      <c r="C5" s="7">
        <f>SUMIFS('All Data'!$D:$D,'All Data'!$B:$B,$A5,'All Data'!$C:$C,$B5)</f>
        <v/>
      </c>
      <c r="D5" s="7">
        <f>SUMIFS('All Data'!$E:$E,'All Data'!$B:$B,$A5,'All Data'!$C:$C,$B5)</f>
        <v/>
      </c>
      <c r="E5" s="7">
        <f>SUMIFS('All Data'!$F:$F,'All Data'!$B:$B,$A5,'All Data'!$C:$C,$B5)</f>
        <v/>
      </c>
      <c r="G5" s="6" t="inlineStr">
        <is>
          <t>Aman Khan</t>
        </is>
      </c>
      <c r="H5" s="7">
        <f>SUMIF('All Data'!$B:$B,$G5,'All Data'!$D:$D)</f>
        <v/>
      </c>
      <c r="I5" s="7">
        <f>SUMIF('All Data'!$B:$B,$G5,'All Data'!$E:$E)</f>
        <v/>
      </c>
      <c r="J5" s="7">
        <f>SUMIF('All Data'!$B:$B,$G5,'All Data'!$F:$F)</f>
        <v/>
      </c>
    </row>
    <row r="6">
      <c r="A6" s="6" t="inlineStr">
        <is>
          <t>Aman Khan</t>
        </is>
      </c>
      <c r="B6" s="6" t="inlineStr">
        <is>
          <t>Tablet</t>
        </is>
      </c>
      <c r="C6" s="7">
        <f>SUMIFS('All Data'!$D:$D,'All Data'!$B:$B,$A6,'All Data'!$C:$C,$B6)</f>
        <v/>
      </c>
      <c r="D6" s="7">
        <f>SUMIFS('All Data'!$E:$E,'All Data'!$B:$B,$A6,'All Data'!$C:$C,$B6)</f>
        <v/>
      </c>
      <c r="E6" s="7">
        <f>SUMIFS('All Data'!$F:$F,'All Data'!$B:$B,$A6,'All Data'!$C:$C,$B6)</f>
        <v/>
      </c>
      <c r="G6" s="8" t="inlineStr">
        <is>
          <t>GRAND TOTAL</t>
        </is>
      </c>
      <c r="H6" s="9">
        <f>SUM(H3:H5)</f>
        <v/>
      </c>
      <c r="I6" s="9">
        <f>SUM(I3:I5)</f>
        <v/>
      </c>
      <c r="J6" s="9">
        <f>SUM(J3:J5)</f>
        <v/>
      </c>
    </row>
    <row r="7">
      <c r="A7" s="6" t="inlineStr">
        <is>
          <t>Aman Khan</t>
        </is>
      </c>
      <c r="B7" s="6" t="inlineStr">
        <is>
          <t>Laptop</t>
        </is>
      </c>
      <c r="C7" s="7">
        <f>SUMIFS('All Data'!$D:$D,'All Data'!$B:$B,$A7,'All Data'!$C:$C,$B7)</f>
        <v/>
      </c>
      <c r="D7" s="7">
        <f>SUMIFS('All Data'!$E:$E,'All Data'!$B:$B,$A7,'All Data'!$C:$C,$B7)</f>
        <v/>
      </c>
      <c r="E7" s="7">
        <f>SUMIFS('All Data'!$F:$F,'All Data'!$B:$B,$A7,'All Data'!$C:$C,$B7)</f>
        <v/>
      </c>
    </row>
    <row r="8">
      <c r="A8" s="8" t="inlineStr">
        <is>
          <t>GRAND TOTAL</t>
        </is>
      </c>
      <c r="B8" s="8" t="n"/>
      <c r="C8" s="9">
        <f>SUM(C3:C7)</f>
        <v/>
      </c>
      <c r="D8" s="9">
        <f>SUM(D3:D7)</f>
        <v/>
      </c>
      <c r="E8" s="9">
        <f>SUM(E3:E7)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2026-10-10T02:17:54Z</dcterms:created>
  <dcterms:modified xmlns:dcterms="http://purl.org/dc/terms/" xmlns:xsi="http://www.w3.org/2001/XMLSchema-instance" xsi:type="dcterms:W3CDTF">2026-10-10T02:17:54Z</dcterms:modified>
</cp:coreProperties>
</file>