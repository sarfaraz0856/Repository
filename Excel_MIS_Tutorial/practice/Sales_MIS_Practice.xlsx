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aw_Data" sheetId="2" state="visible" r:id="rId2"/>
    <sheet xmlns:r="http://schemas.openxmlformats.org/officeDocument/2006/relationships" name="MIS_Dashboard" sheetId="3" state="visible" r:id="rId3"/>
    <sheet xmlns:r="http://schemas.openxmlformats.org/officeDocument/2006/relationships" name="Pivot_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27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color rgb="00000000"/>
      <sz val="11"/>
    </font>
    <font>
      <name val="Calibri"/>
      <b val="1"/>
      <color rgb="002E5496"/>
      <sz val="13"/>
    </font>
    <font>
      <b val="1"/>
      <color rgb="00FFFFFF"/>
      <sz val="13"/>
    </font>
    <font>
      <b val="1"/>
      <color rgb="00FFFFFF"/>
    </font>
    <font>
      <b val="1"/>
      <color rgb="00FFFFFF"/>
      <sz val="22"/>
    </font>
    <font>
      <b val="1"/>
      <color rgb="002E5496"/>
      <sz val="12"/>
    </font>
    <font>
      <b val="1"/>
      <color rgb="00FFFFFF"/>
      <sz val="10"/>
    </font>
    <font>
      <b val="1"/>
      <color rgb="001F3864"/>
      <sz val="16"/>
    </font>
    <font>
      <b val="1"/>
      <color rgb="001F3864"/>
    </font>
    <font>
      <i val="1"/>
      <color rgb="007F7F7F"/>
      <sz val="9"/>
    </font>
    <font>
      <b val="1"/>
      <color rgb="001F3864"/>
      <sz val="15"/>
    </font>
    <font>
      <color rgb="00000000"/>
      <sz val="11"/>
    </font>
    <font>
      <b val="1"/>
      <color rgb="002E5496"/>
      <sz val="11"/>
    </font>
    <font>
      <name val="Calibri"/>
      <b val="1"/>
      <color rgb="00FFFFFF"/>
      <sz val="20"/>
    </font>
    <font>
      <name val="Calibri"/>
      <i val="1"/>
      <color rgb="002E5496"/>
      <sz val="11"/>
    </font>
    <font>
      <name val="Calibri"/>
      <b val="1"/>
      <color rgb="00107C41"/>
      <sz val="12"/>
    </font>
    <font>
      <name val="Calibri"/>
      <color rgb="00595959"/>
      <sz val="10"/>
    </font>
    <font>
      <name val="Calibri"/>
      <b val="1"/>
      <color rgb="00FFFFFF"/>
      <sz val="11"/>
    </font>
    <font>
      <name val="Calibri"/>
      <color rgb="00000000"/>
      <sz val="10.5"/>
    </font>
    <font>
      <name val="Calibri"/>
      <b val="1"/>
      <color rgb="00000000"/>
      <sz val="10.5"/>
    </font>
    <font>
      <name val="Calibri"/>
      <color rgb="00595959"/>
      <sz val="9.5"/>
    </font>
    <font>
      <name val="Calibri"/>
      <b val="1"/>
      <color rgb="00000000"/>
      <sz val="11"/>
    </font>
    <font>
      <name val="Calibri"/>
      <i val="1"/>
      <color rgb="00595959"/>
      <sz val="9.5"/>
    </font>
    <font>
      <name val="Calibri"/>
      <b val="1"/>
      <color rgb="001F3864"/>
      <sz val="15"/>
    </font>
    <font>
      <name val="Calibri"/>
      <b val="1"/>
      <color rgb="002E5496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C9DAF8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indent="1"/>
    </xf>
    <xf numFmtId="0" fontId="5" fillId="3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/>
    </xf>
    <xf numFmtId="4" fontId="9" fillId="4" borderId="0" applyAlignment="1" pivotButton="0" quotePrefix="0" xfId="0">
      <alignment horizontal="center" vertical="center"/>
    </xf>
    <xf numFmtId="3" fontId="9" fillId="4" borderId="0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 indent="1"/>
    </xf>
    <xf numFmtId="0" fontId="10" fillId="5" borderId="1" applyAlignment="1" pivotButton="0" quotePrefix="0" xfId="0">
      <alignment horizontal="center"/>
    </xf>
    <xf numFmtId="165" fontId="0" fillId="0" borderId="1" pivotButton="0" quotePrefix="0" xfId="0"/>
    <xf numFmtId="0" fontId="10" fillId="4" borderId="1" pivotButton="0" quotePrefix="0" xfId="0"/>
    <xf numFmtId="4" fontId="10" fillId="4" borderId="1" pivotButton="0" quotePrefix="0" xfId="0"/>
    <xf numFmtId="165" fontId="10" fillId="4" borderId="1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17" fillId="0" borderId="0" pivotButton="0" quotePrefix="0" xfId="0"/>
    <xf numFmtId="0" fontId="0" fillId="6" borderId="1" pivotButton="0" quotePrefix="0" xfId="0"/>
    <xf numFmtId="0" fontId="2" fillId="0" borderId="0" pivotButton="0" quotePrefix="0" xfId="0"/>
    <xf numFmtId="0" fontId="18" fillId="0" borderId="0" pivotButton="0" quotePrefix="0" xfId="0"/>
    <xf numFmtId="0" fontId="19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0" fillId="0" borderId="1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19" fillId="3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0" fillId="0" borderId="1" pivotButton="0" quotePrefix="0" xfId="0"/>
    <xf numFmtId="0" fontId="22" fillId="0" borderId="1" pivotButton="0" quotePrefix="0" xfId="0"/>
    <xf numFmtId="3" fontId="20" fillId="0" borderId="1" pivotButton="0" quotePrefix="0" xfId="0"/>
    <xf numFmtId="0" fontId="21" fillId="0" borderId="1" applyAlignment="1" pivotButton="0" quotePrefix="0" xfId="0">
      <alignment horizontal="center"/>
    </xf>
    <xf numFmtId="4" fontId="20" fillId="0" borderId="1" pivotButton="0" quotePrefix="0" xfId="0"/>
    <xf numFmtId="0" fontId="23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center"/>
    </xf>
    <xf numFmtId="0" fontId="24" fillId="0" borderId="0" applyAlignment="1" pivotButton="0" quotePrefix="0" xfId="0">
      <alignment wrapText="1"/>
    </xf>
    <xf numFmtId="164" fontId="0" fillId="0" borderId="1" pivotButton="0" quotePrefix="0" xfId="0"/>
    <xf numFmtId="4" fontId="0" fillId="6" borderId="1" pivotButton="0" quotePrefix="0" xfId="0"/>
    <xf numFmtId="4" fontId="9" fillId="6" borderId="0" applyAlignment="1" pivotButton="0" quotePrefix="0" xfId="0">
      <alignment horizontal="center" vertical="center"/>
    </xf>
    <xf numFmtId="3" fontId="9" fillId="6" borderId="0" applyAlignment="1" pivotButton="0" quotePrefix="0" xfId="0">
      <alignment horizontal="center" vertical="center"/>
    </xf>
    <xf numFmtId="165" fontId="0" fillId="6" borderId="1" pivotButton="0" quotePrefix="0" xfId="0"/>
    <xf numFmtId="4" fontId="10" fillId="6" borderId="1" pivotButton="0" quotePrefix="0" xfId="0"/>
    <xf numFmtId="165" fontId="10" fillId="6" borderId="1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9" customWidth="1" min="2" max="2"/>
    <col width="30" customWidth="1" min="3" max="3"/>
    <col width="22" customWidth="1" min="4" max="4"/>
    <col width="16" customWidth="1" min="5" max="5"/>
    <col width="16" customWidth="1" min="6" max="6"/>
    <col width="16" customWidth="1" min="7" max="7"/>
  </cols>
  <sheetData>
    <row r="2" ht="36" customHeight="1">
      <c r="B2" s="25" t="inlineStr">
        <is>
          <t>SALES MIS REPORT  —  Practice File</t>
        </is>
      </c>
    </row>
    <row r="3">
      <c r="B3" s="26" t="inlineStr">
        <is>
          <t>Build the same report as in the video, step by step. Data: 180 fictional sales rows, October 2026.</t>
        </is>
      </c>
    </row>
    <row r="5">
      <c r="B5" s="27" t="inlineStr">
        <is>
          <t>Legend</t>
        </is>
      </c>
    </row>
    <row r="6">
      <c r="B6" s="28" t="n"/>
      <c r="C6" s="29" t="inlineStr">
        <is>
          <t>Light-yellow cell = you fill this with a formula (Raw_Data column H, MIS_Dashboard results).</t>
        </is>
      </c>
    </row>
    <row r="7">
      <c r="C7" s="30" t="inlineStr">
        <is>
          <t>Everything else is already done. The finished answer is in Sales_MIS_Solution.xlsx.</t>
        </is>
      </c>
    </row>
    <row r="9">
      <c r="B9" s="27" t="inlineStr">
        <is>
          <t>Tasks (video time → step)</t>
        </is>
      </c>
    </row>
    <row r="10">
      <c r="B10" s="31" t="inlineStr">
        <is>
          <t>Video</t>
        </is>
      </c>
      <c r="C10" s="31" t="inlineStr">
        <is>
          <t>Step</t>
        </is>
      </c>
      <c r="D10" s="31" t="inlineStr">
        <is>
          <t>What to do</t>
        </is>
      </c>
      <c r="E10" s="32" t="n"/>
      <c r="F10" s="32" t="n"/>
      <c r="G10" s="33" t="n"/>
    </row>
    <row r="11" ht="31" customHeight="1">
      <c r="B11" s="34" t="inlineStr">
        <is>
          <t>0:46</t>
        </is>
      </c>
      <c r="C11" s="35" t="inlineStr">
        <is>
          <t>Look at the data</t>
        </is>
      </c>
      <c r="D11" s="34" t="inlineStr">
        <is>
          <t>Raw_Data has 180 sales rows for October 2026. One row = one unique invoice.</t>
        </is>
      </c>
      <c r="E11" s="7" t="n"/>
      <c r="F11" s="7" t="n"/>
      <c r="G11" s="7" t="n"/>
    </row>
    <row r="12" ht="46.5" customHeight="1">
      <c r="B12" s="34" t="inlineStr">
        <is>
          <t>1:55</t>
        </is>
      </c>
      <c r="C12" s="35" t="inlineStr">
        <is>
          <t>Make it an Excel Table</t>
        </is>
      </c>
      <c r="D12" s="34" t="inlineStr">
        <is>
          <t>Click any cell in A3:I182, press Ctrl + T, keep 'My table has headers' ticked, OK. Then Table Design → Table Name: SalesData → Enter.</t>
        </is>
      </c>
      <c r="E12" s="7" t="n"/>
      <c r="F12" s="7" t="n"/>
      <c r="G12" s="7" t="n"/>
    </row>
    <row r="13" ht="46.5" customHeight="1">
      <c r="B13" s="34" t="inlineStr">
        <is>
          <t>2:42</t>
        </is>
      </c>
      <c r="C13" s="35" t="inlineStr">
        <is>
          <t>Sales Amount (column H)</t>
        </is>
      </c>
      <c r="D13" s="34" t="inlineStr">
        <is>
          <t>In H3 type  =[@Qty]*[@[Unit Price]]  and press Enter. The Table fills all 180 rows. Example: H3 must show 6,600.00 (55 × 120).</t>
        </is>
      </c>
      <c r="E13" s="7" t="n"/>
      <c r="F13" s="7" t="n"/>
      <c r="G13" s="7" t="n"/>
    </row>
    <row r="14" ht="108.5" customHeight="1">
      <c r="B14" s="34" t="inlineStr">
        <is>
          <t>3:36</t>
        </is>
      </c>
      <c r="C14" s="35" t="inlineStr">
        <is>
          <t>KPI cards (MIS_Dashboard)</t>
        </is>
      </c>
      <c r="D14" s="34" t="inlineStr">
        <is>
          <t>B6 Total Sales: SUMIFS(SalesData[Sales Amount], SalesData[Date], "&gt;="&amp;DATE(2026,10,1), SalesData[Date], "&lt;"&amp;DATE(2026,11,1)).  D6 Total Orders: COUNTIFS on the same dates with SalesData[Invoice No], "&lt;&gt;".  F6 Units: SUMIFS on SalesData[Qty].  H6 Average: IFERROR(B6/D6,0).  B9 Pending: SUMIFS with SalesData[Payment Status], "Pending".</t>
        </is>
      </c>
      <c r="E14" s="7" t="n"/>
      <c r="F14" s="7" t="n"/>
      <c r="G14" s="7" t="n"/>
    </row>
    <row r="15" ht="62" customHeight="1">
      <c r="B15" s="34" t="inlineStr">
        <is>
          <t>5:17</t>
        </is>
      </c>
      <c r="C15" s="35" t="inlineStr">
        <is>
          <t>Region-wise and product-wise</t>
        </is>
      </c>
      <c r="D15" s="34" t="inlineStr">
        <is>
          <t>C13: SUMIFS(SalesData[Sales Amount], SalesData[Region], B13, + the two date conditions), copy to C16. C17: SUM(C13:C16). D13: IFERROR(C13/$B$6,0), copy to D17. Same idea for Product in G13:G16 and H13:H16.</t>
        </is>
      </c>
      <c r="E15" s="7" t="n"/>
      <c r="F15" s="7" t="n"/>
      <c r="G15" s="7" t="n"/>
    </row>
    <row r="16" ht="62" customHeight="1">
      <c r="B16" s="34" t="inlineStr">
        <is>
          <t>6:19</t>
        </is>
      </c>
      <c r="C16" s="35" t="inlineStr">
        <is>
          <t>Pivot Table</t>
        </is>
      </c>
      <c r="D16" s="34" t="inlineStr">
        <is>
          <t>Click inside SalesData → Insert → PivotTable → From Table/Range → New Worksheet. Region → Rows, Sales Amount → Values (Sum, not Count), Date → Filters. Make a second one with Product.</t>
        </is>
      </c>
      <c r="E16" s="7" t="n"/>
      <c r="F16" s="7" t="n"/>
      <c r="G16" s="7" t="n"/>
    </row>
    <row r="17" ht="31" customHeight="1">
      <c r="B17" s="34" t="inlineStr">
        <is>
          <t>7:24</t>
        </is>
      </c>
      <c r="C17" s="35" t="inlineStr">
        <is>
          <t>Pivot Charts</t>
        </is>
      </c>
      <c r="D17" s="34" t="inlineStr">
        <is>
          <t>Region pivot → PivotChart → Clustered Column; Product pivot → Pie. Right-click → Add Data Labels.</t>
        </is>
      </c>
      <c r="E17" s="7" t="n"/>
      <c r="F17" s="7" t="n"/>
      <c r="G17" s="7" t="n"/>
    </row>
    <row r="18" ht="46.5" customHeight="1">
      <c r="B18" s="34" t="inlineStr">
        <is>
          <t>8:02</t>
        </is>
      </c>
      <c r="C18" s="35" t="inlineStr">
        <is>
          <t>Slicers</t>
        </is>
      </c>
      <c r="D18" s="34" t="inlineStr">
        <is>
          <t>PivotTable Analyze → Insert Slicer → Region and Product. Right-click a slicer → Report Connections → tick both PivotTables.</t>
        </is>
      </c>
      <c r="E18" s="7" t="n"/>
      <c r="F18" s="7" t="n"/>
      <c r="G18" s="7" t="n"/>
    </row>
    <row r="19" ht="31" customHeight="1">
      <c r="B19" s="34" t="inlineStr">
        <is>
          <t>9:24</t>
        </is>
      </c>
      <c r="C19" s="35" t="inlineStr">
        <is>
          <t>Refresh and validate</t>
        </is>
      </c>
      <c r="D19" s="34" t="inlineStr">
        <is>
          <t>Data → Refresh All (Ctrl + Alt + F5). Region total = Product total = Pivot Grand Total = Total Sales.</t>
        </is>
      </c>
      <c r="E19" s="7" t="n"/>
      <c r="F19" s="7" t="n"/>
      <c r="G19" s="7" t="n"/>
    </row>
    <row r="21">
      <c r="B21" s="27" t="inlineStr">
        <is>
          <t>Self-check (updates automatically)</t>
        </is>
      </c>
    </row>
    <row r="22">
      <c r="B22" s="36" t="inlineStr">
        <is>
          <t>#</t>
        </is>
      </c>
      <c r="C22" s="36" t="inlineStr">
        <is>
          <t>Check</t>
        </is>
      </c>
      <c r="D22" s="36" t="inlineStr">
        <is>
          <t>Cell</t>
        </is>
      </c>
      <c r="E22" s="36" t="inlineStr">
        <is>
          <t>Expected</t>
        </is>
      </c>
      <c r="F22" s="36" t="inlineStr">
        <is>
          <t>Your result</t>
        </is>
      </c>
      <c r="G22" s="36" t="inlineStr">
        <is>
          <t>Status</t>
        </is>
      </c>
    </row>
    <row r="23">
      <c r="B23" s="37" t="n">
        <v>1</v>
      </c>
      <c r="C23" s="38" t="inlineStr">
        <is>
          <t>Sales Amount, first row (55 × 120)</t>
        </is>
      </c>
      <c r="D23" s="39" t="inlineStr">
        <is>
          <t>Raw_Data!H3</t>
        </is>
      </c>
      <c r="E23" s="40" t="n">
        <v>6600</v>
      </c>
      <c r="F23" s="40">
        <f>IF(ISBLANK(Raw_Data!H3),"",Raw_Data!H3)</f>
        <v/>
      </c>
      <c r="G23" s="41">
        <f>IF(F23="","",IF(ABS(F23-E23)&lt;0.01,"✔ Correct","✘ Check again"))</f>
        <v/>
      </c>
    </row>
    <row r="24">
      <c r="B24" s="37" t="n">
        <v>2</v>
      </c>
      <c r="C24" s="38" t="inlineStr">
        <is>
          <t>Sales Amount, whole column (sum)</t>
        </is>
      </c>
      <c r="D24" s="39" t="inlineStr">
        <is>
          <t>Raw_Data!H3:H182</t>
        </is>
      </c>
      <c r="E24" s="40" t="n">
        <v>1428190</v>
      </c>
      <c r="F24" s="40">
        <f>IF(COUNT(Raw_Data!H3:H182)=0,"",SUM(Raw_Data!H3:H182))</f>
        <v/>
      </c>
      <c r="G24" s="41">
        <f>IF(F24="","",IF(ABS(F24-E24)&lt;0.01,"✔ Correct","✘ Check again"))</f>
        <v/>
      </c>
    </row>
    <row r="25">
      <c r="B25" s="37" t="n">
        <v>3</v>
      </c>
      <c r="C25" s="38" t="inlineStr">
        <is>
          <t>Total Sales</t>
        </is>
      </c>
      <c r="D25" s="39" t="inlineStr">
        <is>
          <t>MIS_Dashboard!B6</t>
        </is>
      </c>
      <c r="E25" s="40" t="n">
        <v>1428190</v>
      </c>
      <c r="F25" s="40">
        <f>IF(ISBLANK(MIS_Dashboard!B6),"",MIS_Dashboard!B6)</f>
        <v/>
      </c>
      <c r="G25" s="41">
        <f>IF(F25="","",IF(ABS(F25-E25)&lt;0.01,"✔ Correct","✘ Check again"))</f>
        <v/>
      </c>
    </row>
    <row r="26">
      <c r="B26" s="37" t="n">
        <v>4</v>
      </c>
      <c r="C26" s="38" t="inlineStr">
        <is>
          <t>Total Orders</t>
        </is>
      </c>
      <c r="D26" s="39" t="inlineStr">
        <is>
          <t>MIS_Dashboard!D6</t>
        </is>
      </c>
      <c r="E26" s="40" t="n">
        <v>180</v>
      </c>
      <c r="F26" s="40">
        <f>IF(ISBLANK(MIS_Dashboard!D6),"",MIS_Dashboard!D6)</f>
        <v/>
      </c>
      <c r="G26" s="41">
        <f>IF(F26="","",IF(ABS(F26-E26)&lt;0.01,"✔ Correct","✘ Check again"))</f>
        <v/>
      </c>
    </row>
    <row r="27">
      <c r="B27" s="37" t="n">
        <v>5</v>
      </c>
      <c r="C27" s="38" t="inlineStr">
        <is>
          <t>Total Units Sold</t>
        </is>
      </c>
      <c r="D27" s="39" t="inlineStr">
        <is>
          <t>MIS_Dashboard!F6</t>
        </is>
      </c>
      <c r="E27" s="40" t="n">
        <v>11834</v>
      </c>
      <c r="F27" s="40">
        <f>IF(ISBLANK(MIS_Dashboard!F6),"",MIS_Dashboard!F6)</f>
        <v/>
      </c>
      <c r="G27" s="41">
        <f>IF(F27="","",IF(ABS(F27-E27)&lt;0.01,"✔ Correct","✘ Check again"))</f>
        <v/>
      </c>
    </row>
    <row r="28">
      <c r="B28" s="37" t="n">
        <v>6</v>
      </c>
      <c r="C28" s="38" t="inlineStr">
        <is>
          <t>Average Sales / Order</t>
        </is>
      </c>
      <c r="D28" s="39" t="inlineStr">
        <is>
          <t>MIS_Dashboard!H6</t>
        </is>
      </c>
      <c r="E28" s="42" t="n">
        <v>7934.39</v>
      </c>
      <c r="F28" s="42">
        <f>IF(ISBLANK(MIS_Dashboard!H6),"",MIS_Dashboard!H6)</f>
        <v/>
      </c>
      <c r="G28" s="41">
        <f>IF(F28="","",IF(ABS(F28-E28)&lt;0.01,"✔ Correct","✘ Check again"))</f>
        <v/>
      </c>
    </row>
    <row r="29">
      <c r="B29" s="37" t="n">
        <v>7</v>
      </c>
      <c r="C29" s="38" t="inlineStr">
        <is>
          <t>Pending Sales Amount</t>
        </is>
      </c>
      <c r="D29" s="39" t="inlineStr">
        <is>
          <t>MIS_Dashboard!B9</t>
        </is>
      </c>
      <c r="E29" s="40" t="n">
        <v>372985</v>
      </c>
      <c r="F29" s="40">
        <f>IF(ISBLANK(MIS_Dashboard!B9),"",MIS_Dashboard!B9)</f>
        <v/>
      </c>
      <c r="G29" s="41">
        <f>IF(F29="","",IF(ABS(F29-E29)&lt;0.01,"✔ Correct","✘ Check again"))</f>
        <v/>
      </c>
    </row>
    <row r="30">
      <c r="B30" s="37" t="n">
        <v>8</v>
      </c>
      <c r="C30" s="38" t="inlineStr">
        <is>
          <t>Region: East</t>
        </is>
      </c>
      <c r="D30" s="39" t="inlineStr">
        <is>
          <t>MIS_Dashboard!C13</t>
        </is>
      </c>
      <c r="E30" s="40" t="n">
        <v>351030</v>
      </c>
      <c r="F30" s="40">
        <f>IF(ISBLANK(MIS_Dashboard!C13),"",MIS_Dashboard!C13)</f>
        <v/>
      </c>
      <c r="G30" s="41">
        <f>IF(F30="","",IF(ABS(F30-E30)&lt;0.01,"✔ Correct","✘ Check again"))</f>
        <v/>
      </c>
    </row>
    <row r="31">
      <c r="B31" s="37" t="n">
        <v>9</v>
      </c>
      <c r="C31" s="38" t="inlineStr">
        <is>
          <t>Region: West</t>
        </is>
      </c>
      <c r="D31" s="39" t="inlineStr">
        <is>
          <t>MIS_Dashboard!C14</t>
        </is>
      </c>
      <c r="E31" s="40" t="n">
        <v>383675</v>
      </c>
      <c r="F31" s="40">
        <f>IF(ISBLANK(MIS_Dashboard!C14),"",MIS_Dashboard!C14)</f>
        <v/>
      </c>
      <c r="G31" s="41">
        <f>IF(F31="","",IF(ABS(F31-E31)&lt;0.01,"✔ Correct","✘ Check again"))</f>
        <v/>
      </c>
    </row>
    <row r="32">
      <c r="B32" s="37" t="n">
        <v>10</v>
      </c>
      <c r="C32" s="38" t="inlineStr">
        <is>
          <t>Region: North</t>
        </is>
      </c>
      <c r="D32" s="39" t="inlineStr">
        <is>
          <t>MIS_Dashboard!C15</t>
        </is>
      </c>
      <c r="E32" s="40" t="n">
        <v>355130</v>
      </c>
      <c r="F32" s="40">
        <f>IF(ISBLANK(MIS_Dashboard!C15),"",MIS_Dashboard!C15)</f>
        <v/>
      </c>
      <c r="G32" s="41">
        <f>IF(F32="","",IF(ABS(F32-E32)&lt;0.01,"✔ Correct","✘ Check again"))</f>
        <v/>
      </c>
    </row>
    <row r="33">
      <c r="B33" s="37" t="n">
        <v>11</v>
      </c>
      <c r="C33" s="38" t="inlineStr">
        <is>
          <t>Region: South</t>
        </is>
      </c>
      <c r="D33" s="39" t="inlineStr">
        <is>
          <t>MIS_Dashboard!C16</t>
        </is>
      </c>
      <c r="E33" s="40" t="n">
        <v>338355</v>
      </c>
      <c r="F33" s="40">
        <f>IF(ISBLANK(MIS_Dashboard!C16),"",MIS_Dashboard!C16)</f>
        <v/>
      </c>
      <c r="G33" s="41">
        <f>IF(F33="","",IF(ABS(F33-E33)&lt;0.01,"✔ Correct","✘ Check again"))</f>
        <v/>
      </c>
    </row>
    <row r="34">
      <c r="B34" s="37" t="n">
        <v>12</v>
      </c>
      <c r="C34" s="38" t="inlineStr">
        <is>
          <t>Region total</t>
        </is>
      </c>
      <c r="D34" s="39" t="inlineStr">
        <is>
          <t>MIS_Dashboard!C17</t>
        </is>
      </c>
      <c r="E34" s="40" t="n">
        <v>1428190</v>
      </c>
      <c r="F34" s="40">
        <f>IF(ISBLANK(MIS_Dashboard!C17),"",MIS_Dashboard!C17)</f>
        <v/>
      </c>
      <c r="G34" s="41">
        <f>IF(F34="","",IF(ABS(F34-E34)&lt;0.01,"✔ Correct","✘ Check again"))</f>
        <v/>
      </c>
    </row>
    <row r="35">
      <c r="B35" s="37" t="n">
        <v>13</v>
      </c>
      <c r="C35" s="38" t="inlineStr">
        <is>
          <t>Product: Tea A</t>
        </is>
      </c>
      <c r="D35" s="39" t="inlineStr">
        <is>
          <t>MIS_Dashboard!G13</t>
        </is>
      </c>
      <c r="E35" s="40" t="n">
        <v>385320</v>
      </c>
      <c r="F35" s="40">
        <f>IF(ISBLANK(MIS_Dashboard!G13),"",MIS_Dashboard!G13)</f>
        <v/>
      </c>
      <c r="G35" s="41">
        <f>IF(F35="","",IF(ABS(F35-E35)&lt;0.01,"✔ Correct","✘ Check again"))</f>
        <v/>
      </c>
    </row>
    <row r="36">
      <c r="B36" s="37" t="n">
        <v>14</v>
      </c>
      <c r="C36" s="38" t="inlineStr">
        <is>
          <t>Product: Tea B</t>
        </is>
      </c>
      <c r="D36" s="39" t="inlineStr">
        <is>
          <t>MIS_Dashboard!G14</t>
        </is>
      </c>
      <c r="E36" s="40" t="n">
        <v>432820</v>
      </c>
      <c r="F36" s="40">
        <f>IF(ISBLANK(MIS_Dashboard!G14),"",MIS_Dashboard!G14)</f>
        <v/>
      </c>
      <c r="G36" s="41">
        <f>IF(F36="","",IF(ABS(F36-E36)&lt;0.01,"✔ Correct","✘ Check again"))</f>
        <v/>
      </c>
    </row>
    <row r="37">
      <c r="B37" s="37" t="n">
        <v>15</v>
      </c>
      <c r="C37" s="38" t="inlineStr">
        <is>
          <t>Product: Tea C</t>
        </is>
      </c>
      <c r="D37" s="39" t="inlineStr">
        <is>
          <t>MIS_Dashboard!G15</t>
        </is>
      </c>
      <c r="E37" s="40" t="n">
        <v>610050</v>
      </c>
      <c r="F37" s="40">
        <f>IF(ISBLANK(MIS_Dashboard!G15),"",MIS_Dashboard!G15)</f>
        <v/>
      </c>
      <c r="G37" s="41">
        <f>IF(F37="","",IF(ABS(F37-E37)&lt;0.01,"✔ Correct","✘ Check again"))</f>
        <v/>
      </c>
    </row>
    <row r="38">
      <c r="B38" s="37" t="n">
        <v>16</v>
      </c>
      <c r="C38" s="38" t="inlineStr">
        <is>
          <t>Product total</t>
        </is>
      </c>
      <c r="D38" s="39" t="inlineStr">
        <is>
          <t>MIS_Dashboard!G16</t>
        </is>
      </c>
      <c r="E38" s="40" t="n">
        <v>1428190</v>
      </c>
      <c r="F38" s="40">
        <f>IF(ISBLANK(MIS_Dashboard!G16),"",MIS_Dashboard!G16)</f>
        <v/>
      </c>
      <c r="G38" s="41">
        <f>IF(F38="","",IF(ABS(F38-E38)&lt;0.01,"✔ Correct","✘ Check again"))</f>
        <v/>
      </c>
    </row>
    <row r="39">
      <c r="B39" s="43" t="inlineStr">
        <is>
          <t>Score</t>
        </is>
      </c>
      <c r="G39" s="44">
        <f>COUNTIF(G23:G38,"✔ Correct")&amp;" / 16"</f>
        <v/>
      </c>
    </row>
    <row r="40" ht="28" customHeight="1">
      <c r="B40" s="45" t="inlineStr">
        <is>
          <t>Expected values = the results of the finished workbook shown in the video (Average Sales / Order is checked to 2 decimals: 1,428,190 ÷ 180 = 7,934.39).</t>
        </is>
      </c>
    </row>
  </sheetData>
  <mergeCells count="16">
    <mergeCell ref="B3:G3"/>
    <mergeCell ref="B2:G2"/>
    <mergeCell ref="D18:G18"/>
    <mergeCell ref="C7:G7"/>
    <mergeCell ref="B39:F39"/>
    <mergeCell ref="D17:G17"/>
    <mergeCell ref="C6:G6"/>
    <mergeCell ref="D12:G12"/>
    <mergeCell ref="D16:G16"/>
    <mergeCell ref="D15:G15"/>
    <mergeCell ref="D19:G19"/>
    <mergeCell ref="D11:G11"/>
    <mergeCell ref="D13:G13"/>
    <mergeCell ref="D10:G10"/>
    <mergeCell ref="B40:G40"/>
    <mergeCell ref="D14:G14"/>
  </mergeCells>
  <conditionalFormatting sqref="G23:G38">
    <cfRule type="expression" priority="1" dxfId="0">
      <formula>LEFT(G23,1)="✔"</formula>
    </cfRule>
    <cfRule type="expression" priority="2" dxfId="1">
      <formula>LEFT(G23,1)="✘"</formula>
    </cfRule>
  </conditionalFormatting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0" customWidth="1" min="3" max="3"/>
    <col width="16" customWidth="1" min="4" max="4"/>
    <col width="10" customWidth="1" min="5" max="5"/>
    <col width="8" customWidth="1" min="6" max="6"/>
    <col width="11" customWidth="1" min="7" max="7"/>
    <col width="14" customWidth="1" min="8" max="8"/>
    <col width="15" customWidth="1" min="9" max="9"/>
  </cols>
  <sheetData>
    <row r="1" ht="24" customHeight="1">
      <c r="A1" s="4" t="inlineStr">
        <is>
          <t>RAW DATA  —  SalesData (one row = one unique invoice)</t>
        </is>
      </c>
    </row>
    <row r="2">
      <c r="A2" s="5" t="inlineStr">
        <is>
          <t>Date</t>
        </is>
      </c>
      <c r="B2" s="5" t="inlineStr">
        <is>
          <t>Invoice No</t>
        </is>
      </c>
      <c r="C2" s="5" t="inlineStr">
        <is>
          <t>Region</t>
        </is>
      </c>
      <c r="D2" s="5" t="inlineStr">
        <is>
          <t>Salesperson</t>
        </is>
      </c>
      <c r="E2" s="5" t="inlineStr">
        <is>
          <t>Product</t>
        </is>
      </c>
      <c r="F2" s="5" t="inlineStr">
        <is>
          <t>Qty</t>
        </is>
      </c>
      <c r="G2" s="5" t="inlineStr">
        <is>
          <t>Unit Price</t>
        </is>
      </c>
      <c r="H2" s="5" t="inlineStr">
        <is>
          <t>Sales Amount</t>
        </is>
      </c>
      <c r="I2" s="5" t="inlineStr">
        <is>
          <t>Payment Status</t>
        </is>
      </c>
    </row>
    <row r="3">
      <c r="A3" s="46" t="n">
        <v>46296</v>
      </c>
      <c r="B3" s="7" t="inlineStr">
        <is>
          <t>INV-2026-0001</t>
        </is>
      </c>
      <c r="C3" s="7" t="inlineStr">
        <is>
          <t>South</t>
        </is>
      </c>
      <c r="D3" s="7" t="inlineStr">
        <is>
          <t>Arjun Reddy</t>
        </is>
      </c>
      <c r="E3" s="7" t="inlineStr">
        <is>
          <t>Tea A</t>
        </is>
      </c>
      <c r="F3" s="8" t="n">
        <v>55</v>
      </c>
      <c r="G3" s="9" t="n">
        <v>120</v>
      </c>
      <c r="H3" s="47" t="n"/>
      <c r="I3" s="7" t="inlineStr">
        <is>
          <t>Paid</t>
        </is>
      </c>
    </row>
    <row r="4">
      <c r="A4" s="46" t="n">
        <v>46296</v>
      </c>
      <c r="B4" s="7" t="inlineStr">
        <is>
          <t>INV-2026-0002</t>
        </is>
      </c>
      <c r="C4" s="7" t="inlineStr">
        <is>
          <t>West</t>
        </is>
      </c>
      <c r="D4" s="7" t="inlineStr">
        <is>
          <t>Amit Patel</t>
        </is>
      </c>
      <c r="E4" s="7" t="inlineStr">
        <is>
          <t>Tea A</t>
        </is>
      </c>
      <c r="F4" s="8" t="n">
        <v>40</v>
      </c>
      <c r="G4" s="9" t="n">
        <v>120</v>
      </c>
      <c r="H4" s="47" t="n"/>
      <c r="I4" s="7" t="inlineStr">
        <is>
          <t>Pending</t>
        </is>
      </c>
    </row>
    <row r="5">
      <c r="A5" s="46" t="n">
        <v>46296</v>
      </c>
      <c r="B5" s="7" t="inlineStr">
        <is>
          <t>INV-2026-0003</t>
        </is>
      </c>
      <c r="C5" s="7" t="inlineStr">
        <is>
          <t>East</t>
        </is>
      </c>
      <c r="D5" s="7" t="inlineStr">
        <is>
          <t>Pooja Nair</t>
        </is>
      </c>
      <c r="E5" s="7" t="inlineStr">
        <is>
          <t>Tea A</t>
        </is>
      </c>
      <c r="F5" s="8" t="n">
        <v>89</v>
      </c>
      <c r="G5" s="9" t="n">
        <v>120</v>
      </c>
      <c r="H5" s="47" t="n"/>
      <c r="I5" s="7" t="inlineStr">
        <is>
          <t>Paid</t>
        </is>
      </c>
    </row>
    <row r="6">
      <c r="A6" s="46" t="n">
        <v>46296</v>
      </c>
      <c r="B6" s="7" t="inlineStr">
        <is>
          <t>INV-2026-0004</t>
        </is>
      </c>
      <c r="C6" s="7" t="inlineStr">
        <is>
          <t>North</t>
        </is>
      </c>
      <c r="D6" s="7" t="inlineStr">
        <is>
          <t>Vikram Singh</t>
        </is>
      </c>
      <c r="E6" s="7" t="inlineStr">
        <is>
          <t>Tea A</t>
        </is>
      </c>
      <c r="F6" s="8" t="n">
        <v>83</v>
      </c>
      <c r="G6" s="9" t="n">
        <v>120</v>
      </c>
      <c r="H6" s="47" t="n"/>
      <c r="I6" s="7" t="inlineStr">
        <is>
          <t>Paid</t>
        </is>
      </c>
    </row>
    <row r="7">
      <c r="A7" s="46" t="n">
        <v>46297</v>
      </c>
      <c r="B7" s="7" t="inlineStr">
        <is>
          <t>INV-2026-0005</t>
        </is>
      </c>
      <c r="C7" s="7" t="inlineStr">
        <is>
          <t>East</t>
        </is>
      </c>
      <c r="D7" s="7" t="inlineStr">
        <is>
          <t>Pooja Nair</t>
        </is>
      </c>
      <c r="E7" s="7" t="inlineStr">
        <is>
          <t>Tea C</t>
        </is>
      </c>
      <c r="F7" s="8" t="n">
        <v>62</v>
      </c>
      <c r="G7" s="9" t="n">
        <v>150</v>
      </c>
      <c r="H7" s="47" t="n"/>
      <c r="I7" s="7" t="inlineStr">
        <is>
          <t>Paid</t>
        </is>
      </c>
    </row>
    <row r="8">
      <c r="A8" s="46" t="n">
        <v>46297</v>
      </c>
      <c r="B8" s="7" t="inlineStr">
        <is>
          <t>INV-2026-0006</t>
        </is>
      </c>
      <c r="C8" s="7" t="inlineStr">
        <is>
          <t>West</t>
        </is>
      </c>
      <c r="D8" s="7" t="inlineStr">
        <is>
          <t>Amit Patel</t>
        </is>
      </c>
      <c r="E8" s="7" t="inlineStr">
        <is>
          <t>Tea C</t>
        </is>
      </c>
      <c r="F8" s="8" t="n">
        <v>35</v>
      </c>
      <c r="G8" s="9" t="n">
        <v>150</v>
      </c>
      <c r="H8" s="47" t="n"/>
      <c r="I8" s="7" t="inlineStr">
        <is>
          <t>Paid</t>
        </is>
      </c>
    </row>
    <row r="9">
      <c r="A9" s="46" t="n">
        <v>46297</v>
      </c>
      <c r="B9" s="7" t="inlineStr">
        <is>
          <t>INV-2026-0007</t>
        </is>
      </c>
      <c r="C9" s="7" t="inlineStr">
        <is>
          <t>North</t>
        </is>
      </c>
      <c r="D9" s="7" t="inlineStr">
        <is>
          <t>Neha Gupta</t>
        </is>
      </c>
      <c r="E9" s="7" t="inlineStr">
        <is>
          <t>Tea C</t>
        </is>
      </c>
      <c r="F9" s="8" t="n">
        <v>101</v>
      </c>
      <c r="G9" s="9" t="n">
        <v>150</v>
      </c>
      <c r="H9" s="47" t="n"/>
      <c r="I9" s="7" t="inlineStr">
        <is>
          <t>Pending</t>
        </is>
      </c>
    </row>
    <row r="10">
      <c r="A10" s="46" t="n">
        <v>46297</v>
      </c>
      <c r="B10" s="7" t="inlineStr">
        <is>
          <t>INV-2026-0008</t>
        </is>
      </c>
      <c r="C10" s="7" t="inlineStr">
        <is>
          <t>West</t>
        </is>
      </c>
      <c r="D10" s="7" t="inlineStr">
        <is>
          <t>Amit Patel</t>
        </is>
      </c>
      <c r="E10" s="7" t="inlineStr">
        <is>
          <t>Tea B</t>
        </is>
      </c>
      <c r="F10" s="8" t="n">
        <v>59</v>
      </c>
      <c r="G10" s="9" t="n">
        <v>95</v>
      </c>
      <c r="H10" s="47" t="n"/>
      <c r="I10" s="7" t="inlineStr">
        <is>
          <t>Pending</t>
        </is>
      </c>
    </row>
    <row r="11">
      <c r="A11" s="46" t="n">
        <v>46298</v>
      </c>
      <c r="B11" s="7" t="inlineStr">
        <is>
          <t>INV-2026-0009</t>
        </is>
      </c>
      <c r="C11" s="7" t="inlineStr">
        <is>
          <t>North</t>
        </is>
      </c>
      <c r="D11" s="7" t="inlineStr">
        <is>
          <t>Neha Gupta</t>
        </is>
      </c>
      <c r="E11" s="7" t="inlineStr">
        <is>
          <t>Tea A</t>
        </is>
      </c>
      <c r="F11" s="8" t="n">
        <v>47</v>
      </c>
      <c r="G11" s="9" t="n">
        <v>120</v>
      </c>
      <c r="H11" s="47" t="n"/>
      <c r="I11" s="7" t="inlineStr">
        <is>
          <t>Paid</t>
        </is>
      </c>
    </row>
    <row r="12">
      <c r="A12" s="46" t="n">
        <v>46298</v>
      </c>
      <c r="B12" s="7" t="inlineStr">
        <is>
          <t>INV-2026-0010</t>
        </is>
      </c>
      <c r="C12" s="7" t="inlineStr">
        <is>
          <t>West</t>
        </is>
      </c>
      <c r="D12" s="7" t="inlineStr">
        <is>
          <t>Amit Patel</t>
        </is>
      </c>
      <c r="E12" s="7" t="inlineStr">
        <is>
          <t>Tea B</t>
        </is>
      </c>
      <c r="F12" s="8" t="n">
        <v>107</v>
      </c>
      <c r="G12" s="9" t="n">
        <v>95</v>
      </c>
      <c r="H12" s="47" t="n"/>
      <c r="I12" s="7" t="inlineStr">
        <is>
          <t>Paid</t>
        </is>
      </c>
    </row>
    <row r="13">
      <c r="A13" s="46" t="n">
        <v>46298</v>
      </c>
      <c r="B13" s="7" t="inlineStr">
        <is>
          <t>INV-2026-0011</t>
        </is>
      </c>
      <c r="C13" s="7" t="inlineStr">
        <is>
          <t>West</t>
        </is>
      </c>
      <c r="D13" s="7" t="inlineStr">
        <is>
          <t>Amit Patel</t>
        </is>
      </c>
      <c r="E13" s="7" t="inlineStr">
        <is>
          <t>Tea C</t>
        </is>
      </c>
      <c r="F13" s="8" t="n">
        <v>106</v>
      </c>
      <c r="G13" s="9" t="n">
        <v>150</v>
      </c>
      <c r="H13" s="47" t="n"/>
      <c r="I13" s="7" t="inlineStr">
        <is>
          <t>Paid</t>
        </is>
      </c>
    </row>
    <row r="14">
      <c r="A14" s="46" t="n">
        <v>46298</v>
      </c>
      <c r="B14" s="7" t="inlineStr">
        <is>
          <t>INV-2026-0012</t>
        </is>
      </c>
      <c r="C14" s="7" t="inlineStr">
        <is>
          <t>North</t>
        </is>
      </c>
      <c r="D14" s="7" t="inlineStr">
        <is>
          <t>Vikram Singh</t>
        </is>
      </c>
      <c r="E14" s="7" t="inlineStr">
        <is>
          <t>Tea C</t>
        </is>
      </c>
      <c r="F14" s="8" t="n">
        <v>71</v>
      </c>
      <c r="G14" s="9" t="n">
        <v>150</v>
      </c>
      <c r="H14" s="47" t="n"/>
      <c r="I14" s="7" t="inlineStr">
        <is>
          <t>Paid</t>
        </is>
      </c>
    </row>
    <row r="15">
      <c r="A15" s="46" t="n">
        <v>46299</v>
      </c>
      <c r="B15" s="7" t="inlineStr">
        <is>
          <t>INV-2026-0013</t>
        </is>
      </c>
      <c r="C15" s="7" t="inlineStr">
        <is>
          <t>East</t>
        </is>
      </c>
      <c r="D15" s="7" t="inlineStr">
        <is>
          <t>Pooja Nair</t>
        </is>
      </c>
      <c r="E15" s="7" t="inlineStr">
        <is>
          <t>Tea B</t>
        </is>
      </c>
      <c r="F15" s="8" t="n">
        <v>27</v>
      </c>
      <c r="G15" s="9" t="n">
        <v>95</v>
      </c>
      <c r="H15" s="47" t="n"/>
      <c r="I15" s="7" t="inlineStr">
        <is>
          <t>Paid</t>
        </is>
      </c>
    </row>
    <row r="16">
      <c r="A16" s="46" t="n">
        <v>46299</v>
      </c>
      <c r="B16" s="7" t="inlineStr">
        <is>
          <t>INV-2026-0014</t>
        </is>
      </c>
      <c r="C16" s="7" t="inlineStr">
        <is>
          <t>West</t>
        </is>
      </c>
      <c r="D16" s="7" t="inlineStr">
        <is>
          <t>Amit Patel</t>
        </is>
      </c>
      <c r="E16" s="7" t="inlineStr">
        <is>
          <t>Tea C</t>
        </is>
      </c>
      <c r="F16" s="8" t="n">
        <v>7</v>
      </c>
      <c r="G16" s="9" t="n">
        <v>150</v>
      </c>
      <c r="H16" s="47" t="n"/>
      <c r="I16" s="7" t="inlineStr">
        <is>
          <t>Paid</t>
        </is>
      </c>
    </row>
    <row r="17">
      <c r="A17" s="46" t="n">
        <v>46299</v>
      </c>
      <c r="B17" s="7" t="inlineStr">
        <is>
          <t>INV-2026-0015</t>
        </is>
      </c>
      <c r="C17" s="7" t="inlineStr">
        <is>
          <t>South</t>
        </is>
      </c>
      <c r="D17" s="7" t="inlineStr">
        <is>
          <t>Arjun Reddy</t>
        </is>
      </c>
      <c r="E17" s="7" t="inlineStr">
        <is>
          <t>Tea A</t>
        </is>
      </c>
      <c r="F17" s="8" t="n">
        <v>74</v>
      </c>
      <c r="G17" s="9" t="n">
        <v>120</v>
      </c>
      <c r="H17" s="47" t="n"/>
      <c r="I17" s="7" t="inlineStr">
        <is>
          <t>Paid</t>
        </is>
      </c>
    </row>
    <row r="18">
      <c r="A18" s="46" t="n">
        <v>46300</v>
      </c>
      <c r="B18" s="7" t="inlineStr">
        <is>
          <t>INV-2026-0016</t>
        </is>
      </c>
      <c r="C18" s="7" t="inlineStr">
        <is>
          <t>West</t>
        </is>
      </c>
      <c r="D18" s="7" t="inlineStr">
        <is>
          <t>Sneha Rao</t>
        </is>
      </c>
      <c r="E18" s="7" t="inlineStr">
        <is>
          <t>Tea B</t>
        </is>
      </c>
      <c r="F18" s="8" t="n">
        <v>11</v>
      </c>
      <c r="G18" s="9" t="n">
        <v>95</v>
      </c>
      <c r="H18" s="47" t="n"/>
      <c r="I18" s="7" t="inlineStr">
        <is>
          <t>Paid</t>
        </is>
      </c>
    </row>
    <row r="19">
      <c r="A19" s="46" t="n">
        <v>46300</v>
      </c>
      <c r="B19" s="7" t="inlineStr">
        <is>
          <t>INV-2026-0017</t>
        </is>
      </c>
      <c r="C19" s="7" t="inlineStr">
        <is>
          <t>North</t>
        </is>
      </c>
      <c r="D19" s="7" t="inlineStr">
        <is>
          <t>Neha Gupta</t>
        </is>
      </c>
      <c r="E19" s="7" t="inlineStr">
        <is>
          <t>Tea C</t>
        </is>
      </c>
      <c r="F19" s="8" t="n">
        <v>25</v>
      </c>
      <c r="G19" s="9" t="n">
        <v>150</v>
      </c>
      <c r="H19" s="47" t="n"/>
      <c r="I19" s="7" t="inlineStr">
        <is>
          <t>Pending</t>
        </is>
      </c>
    </row>
    <row r="20">
      <c r="A20" s="46" t="n">
        <v>46300</v>
      </c>
      <c r="B20" s="7" t="inlineStr">
        <is>
          <t>INV-2026-0018</t>
        </is>
      </c>
      <c r="C20" s="7" t="inlineStr">
        <is>
          <t>West</t>
        </is>
      </c>
      <c r="D20" s="7" t="inlineStr">
        <is>
          <t>Sneha Rao</t>
        </is>
      </c>
      <c r="E20" s="7" t="inlineStr">
        <is>
          <t>Tea B</t>
        </is>
      </c>
      <c r="F20" s="8" t="n">
        <v>57</v>
      </c>
      <c r="G20" s="9" t="n">
        <v>95</v>
      </c>
      <c r="H20" s="47" t="n"/>
      <c r="I20" s="7" t="inlineStr">
        <is>
          <t>Paid</t>
        </is>
      </c>
    </row>
    <row r="21">
      <c r="A21" s="46" t="n">
        <v>46300</v>
      </c>
      <c r="B21" s="7" t="inlineStr">
        <is>
          <t>INV-2026-0019</t>
        </is>
      </c>
      <c r="C21" s="7" t="inlineStr">
        <is>
          <t>South</t>
        </is>
      </c>
      <c r="D21" s="7" t="inlineStr">
        <is>
          <t>Divya Menon</t>
        </is>
      </c>
      <c r="E21" s="7" t="inlineStr">
        <is>
          <t>Tea B</t>
        </is>
      </c>
      <c r="F21" s="8" t="n">
        <v>13</v>
      </c>
      <c r="G21" s="9" t="n">
        <v>95</v>
      </c>
      <c r="H21" s="47" t="n"/>
      <c r="I21" s="7" t="inlineStr">
        <is>
          <t>Paid</t>
        </is>
      </c>
    </row>
    <row r="22">
      <c r="A22" s="46" t="n">
        <v>46300</v>
      </c>
      <c r="B22" s="7" t="inlineStr">
        <is>
          <t>INV-2026-0020</t>
        </is>
      </c>
      <c r="C22" s="7" t="inlineStr">
        <is>
          <t>South</t>
        </is>
      </c>
      <c r="D22" s="7" t="inlineStr">
        <is>
          <t>Divya Menon</t>
        </is>
      </c>
      <c r="E22" s="7" t="inlineStr">
        <is>
          <t>Tea B</t>
        </is>
      </c>
      <c r="F22" s="8" t="n">
        <v>19</v>
      </c>
      <c r="G22" s="9" t="n">
        <v>95</v>
      </c>
      <c r="H22" s="47" t="n"/>
      <c r="I22" s="7" t="inlineStr">
        <is>
          <t>Paid</t>
        </is>
      </c>
    </row>
    <row r="23">
      <c r="A23" s="46" t="n">
        <v>46300</v>
      </c>
      <c r="B23" s="7" t="inlineStr">
        <is>
          <t>INV-2026-0021</t>
        </is>
      </c>
      <c r="C23" s="7" t="inlineStr">
        <is>
          <t>South</t>
        </is>
      </c>
      <c r="D23" s="7" t="inlineStr">
        <is>
          <t>Divya Menon</t>
        </is>
      </c>
      <c r="E23" s="7" t="inlineStr">
        <is>
          <t>Tea A</t>
        </is>
      </c>
      <c r="F23" s="8" t="n">
        <v>113</v>
      </c>
      <c r="G23" s="9" t="n">
        <v>120</v>
      </c>
      <c r="H23" s="47" t="n"/>
      <c r="I23" s="7" t="inlineStr">
        <is>
          <t>Pending</t>
        </is>
      </c>
    </row>
    <row r="24">
      <c r="A24" s="46" t="n">
        <v>46301</v>
      </c>
      <c r="B24" s="7" t="inlineStr">
        <is>
          <t>INV-2026-0022</t>
        </is>
      </c>
      <c r="C24" s="7" t="inlineStr">
        <is>
          <t>North</t>
        </is>
      </c>
      <c r="D24" s="7" t="inlineStr">
        <is>
          <t>Vikram Singh</t>
        </is>
      </c>
      <c r="E24" s="7" t="inlineStr">
        <is>
          <t>Tea B</t>
        </is>
      </c>
      <c r="F24" s="8" t="n">
        <v>61</v>
      </c>
      <c r="G24" s="9" t="n">
        <v>95</v>
      </c>
      <c r="H24" s="47" t="n"/>
      <c r="I24" s="7" t="inlineStr">
        <is>
          <t>Paid</t>
        </is>
      </c>
    </row>
    <row r="25">
      <c r="A25" s="46" t="n">
        <v>46301</v>
      </c>
      <c r="B25" s="7" t="inlineStr">
        <is>
          <t>INV-2026-0023</t>
        </is>
      </c>
      <c r="C25" s="7" t="inlineStr">
        <is>
          <t>East</t>
        </is>
      </c>
      <c r="D25" s="7" t="inlineStr">
        <is>
          <t>Pooja Nair</t>
        </is>
      </c>
      <c r="E25" s="7" t="inlineStr">
        <is>
          <t>Tea B</t>
        </is>
      </c>
      <c r="F25" s="8" t="n">
        <v>28</v>
      </c>
      <c r="G25" s="9" t="n">
        <v>95</v>
      </c>
      <c r="H25" s="47" t="n"/>
      <c r="I25" s="7" t="inlineStr">
        <is>
          <t>Pending</t>
        </is>
      </c>
    </row>
    <row r="26">
      <c r="A26" s="46" t="n">
        <v>46302</v>
      </c>
      <c r="B26" s="7" t="inlineStr">
        <is>
          <t>INV-2026-0024</t>
        </is>
      </c>
      <c r="C26" s="7" t="inlineStr">
        <is>
          <t>South</t>
        </is>
      </c>
      <c r="D26" s="7" t="inlineStr">
        <is>
          <t>Arjun Reddy</t>
        </is>
      </c>
      <c r="E26" s="7" t="inlineStr">
        <is>
          <t>Tea C</t>
        </is>
      </c>
      <c r="F26" s="8" t="n">
        <v>103</v>
      </c>
      <c r="G26" s="9" t="n">
        <v>150</v>
      </c>
      <c r="H26" s="47" t="n"/>
      <c r="I26" s="7" t="inlineStr">
        <is>
          <t>Paid</t>
        </is>
      </c>
    </row>
    <row r="27">
      <c r="A27" s="46" t="n">
        <v>46302</v>
      </c>
      <c r="B27" s="7" t="inlineStr">
        <is>
          <t>INV-2026-0025</t>
        </is>
      </c>
      <c r="C27" s="7" t="inlineStr">
        <is>
          <t>East</t>
        </is>
      </c>
      <c r="D27" s="7" t="inlineStr">
        <is>
          <t>Rahul Sharma</t>
        </is>
      </c>
      <c r="E27" s="7" t="inlineStr">
        <is>
          <t>Tea A</t>
        </is>
      </c>
      <c r="F27" s="8" t="n">
        <v>42</v>
      </c>
      <c r="G27" s="9" t="n">
        <v>120</v>
      </c>
      <c r="H27" s="47" t="n"/>
      <c r="I27" s="7" t="inlineStr">
        <is>
          <t>Paid</t>
        </is>
      </c>
    </row>
    <row r="28">
      <c r="A28" s="46" t="n">
        <v>46302</v>
      </c>
      <c r="B28" s="7" t="inlineStr">
        <is>
          <t>INV-2026-0026</t>
        </is>
      </c>
      <c r="C28" s="7" t="inlineStr">
        <is>
          <t>North</t>
        </is>
      </c>
      <c r="D28" s="7" t="inlineStr">
        <is>
          <t>Vikram Singh</t>
        </is>
      </c>
      <c r="E28" s="7" t="inlineStr">
        <is>
          <t>Tea B</t>
        </is>
      </c>
      <c r="F28" s="8" t="n">
        <v>65</v>
      </c>
      <c r="G28" s="9" t="n">
        <v>95</v>
      </c>
      <c r="H28" s="47" t="n"/>
      <c r="I28" s="7" t="inlineStr">
        <is>
          <t>Paid</t>
        </is>
      </c>
    </row>
    <row r="29">
      <c r="A29" s="46" t="n">
        <v>46302</v>
      </c>
      <c r="B29" s="7" t="inlineStr">
        <is>
          <t>INV-2026-0027</t>
        </is>
      </c>
      <c r="C29" s="7" t="inlineStr">
        <is>
          <t>North</t>
        </is>
      </c>
      <c r="D29" s="7" t="inlineStr">
        <is>
          <t>Neha Gupta</t>
        </is>
      </c>
      <c r="E29" s="7" t="inlineStr">
        <is>
          <t>Tea C</t>
        </is>
      </c>
      <c r="F29" s="8" t="n">
        <v>19</v>
      </c>
      <c r="G29" s="9" t="n">
        <v>150</v>
      </c>
      <c r="H29" s="47" t="n"/>
      <c r="I29" s="7" t="inlineStr">
        <is>
          <t>Paid</t>
        </is>
      </c>
    </row>
    <row r="30">
      <c r="A30" s="46" t="n">
        <v>46302</v>
      </c>
      <c r="B30" s="7" t="inlineStr">
        <is>
          <t>INV-2026-0028</t>
        </is>
      </c>
      <c r="C30" s="7" t="inlineStr">
        <is>
          <t>East</t>
        </is>
      </c>
      <c r="D30" s="7" t="inlineStr">
        <is>
          <t>Rahul Sharma</t>
        </is>
      </c>
      <c r="E30" s="7" t="inlineStr">
        <is>
          <t>Tea A</t>
        </is>
      </c>
      <c r="F30" s="8" t="n">
        <v>14</v>
      </c>
      <c r="G30" s="9" t="n">
        <v>120</v>
      </c>
      <c r="H30" s="47" t="n"/>
      <c r="I30" s="7" t="inlineStr">
        <is>
          <t>Paid</t>
        </is>
      </c>
    </row>
    <row r="31">
      <c r="A31" s="46" t="n">
        <v>46302</v>
      </c>
      <c r="B31" s="7" t="inlineStr">
        <is>
          <t>INV-2026-0029</t>
        </is>
      </c>
      <c r="C31" s="7" t="inlineStr">
        <is>
          <t>West</t>
        </is>
      </c>
      <c r="D31" s="7" t="inlineStr">
        <is>
          <t>Sneha Rao</t>
        </is>
      </c>
      <c r="E31" s="7" t="inlineStr">
        <is>
          <t>Tea B</t>
        </is>
      </c>
      <c r="F31" s="8" t="n">
        <v>12</v>
      </c>
      <c r="G31" s="9" t="n">
        <v>95</v>
      </c>
      <c r="H31" s="47" t="n"/>
      <c r="I31" s="7" t="inlineStr">
        <is>
          <t>Paid</t>
        </is>
      </c>
    </row>
    <row r="32">
      <c r="A32" s="46" t="n">
        <v>46303</v>
      </c>
      <c r="B32" s="7" t="inlineStr">
        <is>
          <t>INV-2026-0030</t>
        </is>
      </c>
      <c r="C32" s="7" t="inlineStr">
        <is>
          <t>North</t>
        </is>
      </c>
      <c r="D32" s="7" t="inlineStr">
        <is>
          <t>Neha Gupta</t>
        </is>
      </c>
      <c r="E32" s="7" t="inlineStr">
        <is>
          <t>Tea C</t>
        </is>
      </c>
      <c r="F32" s="8" t="n">
        <v>79</v>
      </c>
      <c r="G32" s="9" t="n">
        <v>150</v>
      </c>
      <c r="H32" s="47" t="n"/>
      <c r="I32" s="7" t="inlineStr">
        <is>
          <t>Paid</t>
        </is>
      </c>
    </row>
    <row r="33">
      <c r="A33" s="46" t="n">
        <v>46303</v>
      </c>
      <c r="B33" s="7" t="inlineStr">
        <is>
          <t>INV-2026-0031</t>
        </is>
      </c>
      <c r="C33" s="7" t="inlineStr">
        <is>
          <t>East</t>
        </is>
      </c>
      <c r="D33" s="7" t="inlineStr">
        <is>
          <t>Rahul Sharma</t>
        </is>
      </c>
      <c r="E33" s="7" t="inlineStr">
        <is>
          <t>Tea A</t>
        </is>
      </c>
      <c r="F33" s="8" t="n">
        <v>31</v>
      </c>
      <c r="G33" s="9" t="n">
        <v>120</v>
      </c>
      <c r="H33" s="47" t="n"/>
      <c r="I33" s="7" t="inlineStr">
        <is>
          <t>Paid</t>
        </is>
      </c>
    </row>
    <row r="34">
      <c r="A34" s="46" t="n">
        <v>46303</v>
      </c>
      <c r="B34" s="7" t="inlineStr">
        <is>
          <t>INV-2026-0032</t>
        </is>
      </c>
      <c r="C34" s="7" t="inlineStr">
        <is>
          <t>West</t>
        </is>
      </c>
      <c r="D34" s="7" t="inlineStr">
        <is>
          <t>Amit Patel</t>
        </is>
      </c>
      <c r="E34" s="7" t="inlineStr">
        <is>
          <t>Tea C</t>
        </is>
      </c>
      <c r="F34" s="8" t="n">
        <v>102</v>
      </c>
      <c r="G34" s="9" t="n">
        <v>150</v>
      </c>
      <c r="H34" s="47" t="n"/>
      <c r="I34" s="7" t="inlineStr">
        <is>
          <t>Pending</t>
        </is>
      </c>
    </row>
    <row r="35">
      <c r="A35" s="46" t="n">
        <v>46303</v>
      </c>
      <c r="B35" s="7" t="inlineStr">
        <is>
          <t>INV-2026-0033</t>
        </is>
      </c>
      <c r="C35" s="7" t="inlineStr">
        <is>
          <t>East</t>
        </is>
      </c>
      <c r="D35" s="7" t="inlineStr">
        <is>
          <t>Pooja Nair</t>
        </is>
      </c>
      <c r="E35" s="7" t="inlineStr">
        <is>
          <t>Tea A</t>
        </is>
      </c>
      <c r="F35" s="8" t="n">
        <v>86</v>
      </c>
      <c r="G35" s="9" t="n">
        <v>120</v>
      </c>
      <c r="H35" s="47" t="n"/>
      <c r="I35" s="7" t="inlineStr">
        <is>
          <t>Paid</t>
        </is>
      </c>
    </row>
    <row r="36">
      <c r="A36" s="46" t="n">
        <v>46303</v>
      </c>
      <c r="B36" s="7" t="inlineStr">
        <is>
          <t>INV-2026-0034</t>
        </is>
      </c>
      <c r="C36" s="7" t="inlineStr">
        <is>
          <t>West</t>
        </is>
      </c>
      <c r="D36" s="7" t="inlineStr">
        <is>
          <t>Sneha Rao</t>
        </is>
      </c>
      <c r="E36" s="7" t="inlineStr">
        <is>
          <t>Tea A</t>
        </is>
      </c>
      <c r="F36" s="8" t="n">
        <v>89</v>
      </c>
      <c r="G36" s="9" t="n">
        <v>120</v>
      </c>
      <c r="H36" s="47" t="n"/>
      <c r="I36" s="7" t="inlineStr">
        <is>
          <t>Paid</t>
        </is>
      </c>
    </row>
    <row r="37">
      <c r="A37" s="46" t="n">
        <v>46303</v>
      </c>
      <c r="B37" s="7" t="inlineStr">
        <is>
          <t>INV-2026-0035</t>
        </is>
      </c>
      <c r="C37" s="7" t="inlineStr">
        <is>
          <t>East</t>
        </is>
      </c>
      <c r="D37" s="7" t="inlineStr">
        <is>
          <t>Rahul Sharma</t>
        </is>
      </c>
      <c r="E37" s="7" t="inlineStr">
        <is>
          <t>Tea B</t>
        </is>
      </c>
      <c r="F37" s="8" t="n">
        <v>88</v>
      </c>
      <c r="G37" s="9" t="n">
        <v>95</v>
      </c>
      <c r="H37" s="47" t="n"/>
      <c r="I37" s="7" t="inlineStr">
        <is>
          <t>Paid</t>
        </is>
      </c>
    </row>
    <row r="38">
      <c r="A38" s="46" t="n">
        <v>46304</v>
      </c>
      <c r="B38" s="7" t="inlineStr">
        <is>
          <t>INV-2026-0036</t>
        </is>
      </c>
      <c r="C38" s="7" t="inlineStr">
        <is>
          <t>North</t>
        </is>
      </c>
      <c r="D38" s="7" t="inlineStr">
        <is>
          <t>Vikram Singh</t>
        </is>
      </c>
      <c r="E38" s="7" t="inlineStr">
        <is>
          <t>Tea B</t>
        </is>
      </c>
      <c r="F38" s="8" t="n">
        <v>114</v>
      </c>
      <c r="G38" s="9" t="n">
        <v>95</v>
      </c>
      <c r="H38" s="47" t="n"/>
      <c r="I38" s="7" t="inlineStr">
        <is>
          <t>Pending</t>
        </is>
      </c>
    </row>
    <row r="39">
      <c r="A39" s="46" t="n">
        <v>46304</v>
      </c>
      <c r="B39" s="7" t="inlineStr">
        <is>
          <t>INV-2026-0037</t>
        </is>
      </c>
      <c r="C39" s="7" t="inlineStr">
        <is>
          <t>North</t>
        </is>
      </c>
      <c r="D39" s="7" t="inlineStr">
        <is>
          <t>Neha Gupta</t>
        </is>
      </c>
      <c r="E39" s="7" t="inlineStr">
        <is>
          <t>Tea A</t>
        </is>
      </c>
      <c r="F39" s="8" t="n">
        <v>42</v>
      </c>
      <c r="G39" s="9" t="n">
        <v>120</v>
      </c>
      <c r="H39" s="47" t="n"/>
      <c r="I39" s="7" t="inlineStr">
        <is>
          <t>Paid</t>
        </is>
      </c>
    </row>
    <row r="40">
      <c r="A40" s="46" t="n">
        <v>46304</v>
      </c>
      <c r="B40" s="7" t="inlineStr">
        <is>
          <t>INV-2026-0038</t>
        </is>
      </c>
      <c r="C40" s="7" t="inlineStr">
        <is>
          <t>East</t>
        </is>
      </c>
      <c r="D40" s="7" t="inlineStr">
        <is>
          <t>Rahul Sharma</t>
        </is>
      </c>
      <c r="E40" s="7" t="inlineStr">
        <is>
          <t>Tea B</t>
        </is>
      </c>
      <c r="F40" s="8" t="n">
        <v>30</v>
      </c>
      <c r="G40" s="9" t="n">
        <v>95</v>
      </c>
      <c r="H40" s="47" t="n"/>
      <c r="I40" s="7" t="inlineStr">
        <is>
          <t>Paid</t>
        </is>
      </c>
    </row>
    <row r="41">
      <c r="A41" s="46" t="n">
        <v>46305</v>
      </c>
      <c r="B41" s="7" t="inlineStr">
        <is>
          <t>INV-2026-0039</t>
        </is>
      </c>
      <c r="C41" s="7" t="inlineStr">
        <is>
          <t>South</t>
        </is>
      </c>
      <c r="D41" s="7" t="inlineStr">
        <is>
          <t>Arjun Reddy</t>
        </is>
      </c>
      <c r="E41" s="7" t="inlineStr">
        <is>
          <t>Tea A</t>
        </is>
      </c>
      <c r="F41" s="8" t="n">
        <v>61</v>
      </c>
      <c r="G41" s="9" t="n">
        <v>120</v>
      </c>
      <c r="H41" s="47" t="n"/>
      <c r="I41" s="7" t="inlineStr">
        <is>
          <t>Paid</t>
        </is>
      </c>
    </row>
    <row r="42">
      <c r="A42" s="46" t="n">
        <v>46305</v>
      </c>
      <c r="B42" s="7" t="inlineStr">
        <is>
          <t>INV-2026-0040</t>
        </is>
      </c>
      <c r="C42" s="7" t="inlineStr">
        <is>
          <t>South</t>
        </is>
      </c>
      <c r="D42" s="7" t="inlineStr">
        <is>
          <t>Arjun Reddy</t>
        </is>
      </c>
      <c r="E42" s="7" t="inlineStr">
        <is>
          <t>Tea A</t>
        </is>
      </c>
      <c r="F42" s="8" t="n">
        <v>96</v>
      </c>
      <c r="G42" s="9" t="n">
        <v>120</v>
      </c>
      <c r="H42" s="47" t="n"/>
      <c r="I42" s="7" t="inlineStr">
        <is>
          <t>Paid</t>
        </is>
      </c>
    </row>
    <row r="43">
      <c r="A43" s="46" t="n">
        <v>46305</v>
      </c>
      <c r="B43" s="7" t="inlineStr">
        <is>
          <t>INV-2026-0041</t>
        </is>
      </c>
      <c r="C43" s="7" t="inlineStr">
        <is>
          <t>West</t>
        </is>
      </c>
      <c r="D43" s="7" t="inlineStr">
        <is>
          <t>Sneha Rao</t>
        </is>
      </c>
      <c r="E43" s="7" t="inlineStr">
        <is>
          <t>Tea C</t>
        </is>
      </c>
      <c r="F43" s="8" t="n">
        <v>9</v>
      </c>
      <c r="G43" s="9" t="n">
        <v>150</v>
      </c>
      <c r="H43" s="47" t="n"/>
      <c r="I43" s="7" t="inlineStr">
        <is>
          <t>Paid</t>
        </is>
      </c>
    </row>
    <row r="44">
      <c r="A44" s="46" t="n">
        <v>46305</v>
      </c>
      <c r="B44" s="7" t="inlineStr">
        <is>
          <t>INV-2026-0042</t>
        </is>
      </c>
      <c r="C44" s="7" t="inlineStr">
        <is>
          <t>South</t>
        </is>
      </c>
      <c r="D44" s="7" t="inlineStr">
        <is>
          <t>Arjun Reddy</t>
        </is>
      </c>
      <c r="E44" s="7" t="inlineStr">
        <is>
          <t>Tea B</t>
        </is>
      </c>
      <c r="F44" s="8" t="n">
        <v>96</v>
      </c>
      <c r="G44" s="9" t="n">
        <v>95</v>
      </c>
      <c r="H44" s="47" t="n"/>
      <c r="I44" s="7" t="inlineStr">
        <is>
          <t>Paid</t>
        </is>
      </c>
    </row>
    <row r="45">
      <c r="A45" s="46" t="n">
        <v>46305</v>
      </c>
      <c r="B45" s="7" t="inlineStr">
        <is>
          <t>INV-2026-0043</t>
        </is>
      </c>
      <c r="C45" s="7" t="inlineStr">
        <is>
          <t>South</t>
        </is>
      </c>
      <c r="D45" s="7" t="inlineStr">
        <is>
          <t>Arjun Reddy</t>
        </is>
      </c>
      <c r="E45" s="7" t="inlineStr">
        <is>
          <t>Tea B</t>
        </is>
      </c>
      <c r="F45" s="8" t="n">
        <v>62</v>
      </c>
      <c r="G45" s="9" t="n">
        <v>95</v>
      </c>
      <c r="H45" s="47" t="n"/>
      <c r="I45" s="7" t="inlineStr">
        <is>
          <t>Paid</t>
        </is>
      </c>
    </row>
    <row r="46">
      <c r="A46" s="46" t="n">
        <v>46305</v>
      </c>
      <c r="B46" s="7" t="inlineStr">
        <is>
          <t>INV-2026-0044</t>
        </is>
      </c>
      <c r="C46" s="7" t="inlineStr">
        <is>
          <t>East</t>
        </is>
      </c>
      <c r="D46" s="7" t="inlineStr">
        <is>
          <t>Rahul Sharma</t>
        </is>
      </c>
      <c r="E46" s="7" t="inlineStr">
        <is>
          <t>Tea B</t>
        </is>
      </c>
      <c r="F46" s="8" t="n">
        <v>15</v>
      </c>
      <c r="G46" s="9" t="n">
        <v>95</v>
      </c>
      <c r="H46" s="47" t="n"/>
      <c r="I46" s="7" t="inlineStr">
        <is>
          <t>Paid</t>
        </is>
      </c>
    </row>
    <row r="47">
      <c r="A47" s="46" t="n">
        <v>46305</v>
      </c>
      <c r="B47" s="7" t="inlineStr">
        <is>
          <t>INV-2026-0045</t>
        </is>
      </c>
      <c r="C47" s="7" t="inlineStr">
        <is>
          <t>South</t>
        </is>
      </c>
      <c r="D47" s="7" t="inlineStr">
        <is>
          <t>Arjun Reddy</t>
        </is>
      </c>
      <c r="E47" s="7" t="inlineStr">
        <is>
          <t>Tea B</t>
        </is>
      </c>
      <c r="F47" s="8" t="n">
        <v>107</v>
      </c>
      <c r="G47" s="9" t="n">
        <v>95</v>
      </c>
      <c r="H47" s="47" t="n"/>
      <c r="I47" s="7" t="inlineStr">
        <is>
          <t>Pending</t>
        </is>
      </c>
    </row>
    <row r="48">
      <c r="A48" s="46" t="n">
        <v>46305</v>
      </c>
      <c r="B48" s="7" t="inlineStr">
        <is>
          <t>INV-2026-0046</t>
        </is>
      </c>
      <c r="C48" s="7" t="inlineStr">
        <is>
          <t>North</t>
        </is>
      </c>
      <c r="D48" s="7" t="inlineStr">
        <is>
          <t>Vikram Singh</t>
        </is>
      </c>
      <c r="E48" s="7" t="inlineStr">
        <is>
          <t>Tea C</t>
        </is>
      </c>
      <c r="F48" s="8" t="n">
        <v>67</v>
      </c>
      <c r="G48" s="9" t="n">
        <v>150</v>
      </c>
      <c r="H48" s="47" t="n"/>
      <c r="I48" s="7" t="inlineStr">
        <is>
          <t>Pending</t>
        </is>
      </c>
    </row>
    <row r="49">
      <c r="A49" s="46" t="n">
        <v>46306</v>
      </c>
      <c r="B49" s="7" t="inlineStr">
        <is>
          <t>INV-2026-0047</t>
        </is>
      </c>
      <c r="C49" s="7" t="inlineStr">
        <is>
          <t>West</t>
        </is>
      </c>
      <c r="D49" s="7" t="inlineStr">
        <is>
          <t>Sneha Rao</t>
        </is>
      </c>
      <c r="E49" s="7" t="inlineStr">
        <is>
          <t>Tea B</t>
        </is>
      </c>
      <c r="F49" s="8" t="n">
        <v>109</v>
      </c>
      <c r="G49" s="9" t="n">
        <v>95</v>
      </c>
      <c r="H49" s="47" t="n"/>
      <c r="I49" s="7" t="inlineStr">
        <is>
          <t>Paid</t>
        </is>
      </c>
    </row>
    <row r="50">
      <c r="A50" s="46" t="n">
        <v>46306</v>
      </c>
      <c r="B50" s="7" t="inlineStr">
        <is>
          <t>INV-2026-0048</t>
        </is>
      </c>
      <c r="C50" s="7" t="inlineStr">
        <is>
          <t>West</t>
        </is>
      </c>
      <c r="D50" s="7" t="inlineStr">
        <is>
          <t>Sneha Rao</t>
        </is>
      </c>
      <c r="E50" s="7" t="inlineStr">
        <is>
          <t>Tea A</t>
        </is>
      </c>
      <c r="F50" s="8" t="n">
        <v>52</v>
      </c>
      <c r="G50" s="9" t="n">
        <v>120</v>
      </c>
      <c r="H50" s="47" t="n"/>
      <c r="I50" s="7" t="inlineStr">
        <is>
          <t>Paid</t>
        </is>
      </c>
    </row>
    <row r="51">
      <c r="A51" s="46" t="n">
        <v>46306</v>
      </c>
      <c r="B51" s="7" t="inlineStr">
        <is>
          <t>INV-2026-0049</t>
        </is>
      </c>
      <c r="C51" s="7" t="inlineStr">
        <is>
          <t>North</t>
        </is>
      </c>
      <c r="D51" s="7" t="inlineStr">
        <is>
          <t>Neha Gupta</t>
        </is>
      </c>
      <c r="E51" s="7" t="inlineStr">
        <is>
          <t>Tea A</t>
        </is>
      </c>
      <c r="F51" s="8" t="n">
        <v>69</v>
      </c>
      <c r="G51" s="9" t="n">
        <v>120</v>
      </c>
      <c r="H51" s="47" t="n"/>
      <c r="I51" s="7" t="inlineStr">
        <is>
          <t>Paid</t>
        </is>
      </c>
    </row>
    <row r="52">
      <c r="A52" s="46" t="n">
        <v>46306</v>
      </c>
      <c r="B52" s="7" t="inlineStr">
        <is>
          <t>INV-2026-0050</t>
        </is>
      </c>
      <c r="C52" s="7" t="inlineStr">
        <is>
          <t>South</t>
        </is>
      </c>
      <c r="D52" s="7" t="inlineStr">
        <is>
          <t>Arjun Reddy</t>
        </is>
      </c>
      <c r="E52" s="7" t="inlineStr">
        <is>
          <t>Tea A</t>
        </is>
      </c>
      <c r="F52" s="8" t="n">
        <v>22</v>
      </c>
      <c r="G52" s="9" t="n">
        <v>120</v>
      </c>
      <c r="H52" s="47" t="n"/>
      <c r="I52" s="7" t="inlineStr">
        <is>
          <t>Paid</t>
        </is>
      </c>
    </row>
    <row r="53">
      <c r="A53" s="46" t="n">
        <v>46306</v>
      </c>
      <c r="B53" s="7" t="inlineStr">
        <is>
          <t>INV-2026-0051</t>
        </is>
      </c>
      <c r="C53" s="7" t="inlineStr">
        <is>
          <t>South</t>
        </is>
      </c>
      <c r="D53" s="7" t="inlineStr">
        <is>
          <t>Arjun Reddy</t>
        </is>
      </c>
      <c r="E53" s="7" t="inlineStr">
        <is>
          <t>Tea B</t>
        </is>
      </c>
      <c r="F53" s="8" t="n">
        <v>47</v>
      </c>
      <c r="G53" s="9" t="n">
        <v>95</v>
      </c>
      <c r="H53" s="47" t="n"/>
      <c r="I53" s="7" t="inlineStr">
        <is>
          <t>Pending</t>
        </is>
      </c>
    </row>
    <row r="54">
      <c r="A54" s="46" t="n">
        <v>46307</v>
      </c>
      <c r="B54" s="7" t="inlineStr">
        <is>
          <t>INV-2026-0052</t>
        </is>
      </c>
      <c r="C54" s="7" t="inlineStr">
        <is>
          <t>West</t>
        </is>
      </c>
      <c r="D54" s="7" t="inlineStr">
        <is>
          <t>Sneha Rao</t>
        </is>
      </c>
      <c r="E54" s="7" t="inlineStr">
        <is>
          <t>Tea A</t>
        </is>
      </c>
      <c r="F54" s="8" t="n">
        <v>98</v>
      </c>
      <c r="G54" s="9" t="n">
        <v>120</v>
      </c>
      <c r="H54" s="47" t="n"/>
      <c r="I54" s="7" t="inlineStr">
        <is>
          <t>Paid</t>
        </is>
      </c>
    </row>
    <row r="55">
      <c r="A55" s="46" t="n">
        <v>46307</v>
      </c>
      <c r="B55" s="7" t="inlineStr">
        <is>
          <t>INV-2026-0053</t>
        </is>
      </c>
      <c r="C55" s="7" t="inlineStr">
        <is>
          <t>West</t>
        </is>
      </c>
      <c r="D55" s="7" t="inlineStr">
        <is>
          <t>Sneha Rao</t>
        </is>
      </c>
      <c r="E55" s="7" t="inlineStr">
        <is>
          <t>Tea A</t>
        </is>
      </c>
      <c r="F55" s="8" t="n">
        <v>30</v>
      </c>
      <c r="G55" s="9" t="n">
        <v>120</v>
      </c>
      <c r="H55" s="47" t="n"/>
      <c r="I55" s="7" t="inlineStr">
        <is>
          <t>Paid</t>
        </is>
      </c>
    </row>
    <row r="56">
      <c r="A56" s="46" t="n">
        <v>46307</v>
      </c>
      <c r="B56" s="7" t="inlineStr">
        <is>
          <t>INV-2026-0054</t>
        </is>
      </c>
      <c r="C56" s="7" t="inlineStr">
        <is>
          <t>South</t>
        </is>
      </c>
      <c r="D56" s="7" t="inlineStr">
        <is>
          <t>Arjun Reddy</t>
        </is>
      </c>
      <c r="E56" s="7" t="inlineStr">
        <is>
          <t>Tea A</t>
        </is>
      </c>
      <c r="F56" s="8" t="n">
        <v>107</v>
      </c>
      <c r="G56" s="9" t="n">
        <v>120</v>
      </c>
      <c r="H56" s="47" t="n"/>
      <c r="I56" s="7" t="inlineStr">
        <is>
          <t>Paid</t>
        </is>
      </c>
    </row>
    <row r="57">
      <c r="A57" s="46" t="n">
        <v>46307</v>
      </c>
      <c r="B57" s="7" t="inlineStr">
        <is>
          <t>INV-2026-0055</t>
        </is>
      </c>
      <c r="C57" s="7" t="inlineStr">
        <is>
          <t>East</t>
        </is>
      </c>
      <c r="D57" s="7" t="inlineStr">
        <is>
          <t>Pooja Nair</t>
        </is>
      </c>
      <c r="E57" s="7" t="inlineStr">
        <is>
          <t>Tea B</t>
        </is>
      </c>
      <c r="F57" s="8" t="n">
        <v>93</v>
      </c>
      <c r="G57" s="9" t="n">
        <v>95</v>
      </c>
      <c r="H57" s="47" t="n"/>
      <c r="I57" s="7" t="inlineStr">
        <is>
          <t>Paid</t>
        </is>
      </c>
    </row>
    <row r="58">
      <c r="A58" s="46" t="n">
        <v>46307</v>
      </c>
      <c r="B58" s="7" t="inlineStr">
        <is>
          <t>INV-2026-0056</t>
        </is>
      </c>
      <c r="C58" s="7" t="inlineStr">
        <is>
          <t>North</t>
        </is>
      </c>
      <c r="D58" s="7" t="inlineStr">
        <is>
          <t>Neha Gupta</t>
        </is>
      </c>
      <c r="E58" s="7" t="inlineStr">
        <is>
          <t>Tea A</t>
        </is>
      </c>
      <c r="F58" s="8" t="n">
        <v>7</v>
      </c>
      <c r="G58" s="9" t="n">
        <v>120</v>
      </c>
      <c r="H58" s="47" t="n"/>
      <c r="I58" s="7" t="inlineStr">
        <is>
          <t>Paid</t>
        </is>
      </c>
    </row>
    <row r="59">
      <c r="A59" s="46" t="n">
        <v>46307</v>
      </c>
      <c r="B59" s="7" t="inlineStr">
        <is>
          <t>INV-2026-0057</t>
        </is>
      </c>
      <c r="C59" s="7" t="inlineStr">
        <is>
          <t>South</t>
        </is>
      </c>
      <c r="D59" s="7" t="inlineStr">
        <is>
          <t>Arjun Reddy</t>
        </is>
      </c>
      <c r="E59" s="7" t="inlineStr">
        <is>
          <t>Tea B</t>
        </is>
      </c>
      <c r="F59" s="8" t="n">
        <v>70</v>
      </c>
      <c r="G59" s="9" t="n">
        <v>95</v>
      </c>
      <c r="H59" s="47" t="n"/>
      <c r="I59" s="7" t="inlineStr">
        <is>
          <t>Paid</t>
        </is>
      </c>
    </row>
    <row r="60">
      <c r="A60" s="46" t="n">
        <v>46307</v>
      </c>
      <c r="B60" s="7" t="inlineStr">
        <is>
          <t>INV-2026-0058</t>
        </is>
      </c>
      <c r="C60" s="7" t="inlineStr">
        <is>
          <t>East</t>
        </is>
      </c>
      <c r="D60" s="7" t="inlineStr">
        <is>
          <t>Pooja Nair</t>
        </is>
      </c>
      <c r="E60" s="7" t="inlineStr">
        <is>
          <t>Tea B</t>
        </is>
      </c>
      <c r="F60" s="8" t="n">
        <v>120</v>
      </c>
      <c r="G60" s="9" t="n">
        <v>95</v>
      </c>
      <c r="H60" s="47" t="n"/>
      <c r="I60" s="7" t="inlineStr">
        <is>
          <t>Pending</t>
        </is>
      </c>
    </row>
    <row r="61">
      <c r="A61" s="46" t="n">
        <v>46307</v>
      </c>
      <c r="B61" s="7" t="inlineStr">
        <is>
          <t>INV-2026-0059</t>
        </is>
      </c>
      <c r="C61" s="7" t="inlineStr">
        <is>
          <t>West</t>
        </is>
      </c>
      <c r="D61" s="7" t="inlineStr">
        <is>
          <t>Sneha Rao</t>
        </is>
      </c>
      <c r="E61" s="7" t="inlineStr">
        <is>
          <t>Tea C</t>
        </is>
      </c>
      <c r="F61" s="8" t="n">
        <v>107</v>
      </c>
      <c r="G61" s="9" t="n">
        <v>150</v>
      </c>
      <c r="H61" s="47" t="n"/>
      <c r="I61" s="7" t="inlineStr">
        <is>
          <t>Paid</t>
        </is>
      </c>
    </row>
    <row r="62">
      <c r="A62" s="46" t="n">
        <v>46307</v>
      </c>
      <c r="B62" s="7" t="inlineStr">
        <is>
          <t>INV-2026-0060</t>
        </is>
      </c>
      <c r="C62" s="7" t="inlineStr">
        <is>
          <t>North</t>
        </is>
      </c>
      <c r="D62" s="7" t="inlineStr">
        <is>
          <t>Vikram Singh</t>
        </is>
      </c>
      <c r="E62" s="7" t="inlineStr">
        <is>
          <t>Tea B</t>
        </is>
      </c>
      <c r="F62" s="8" t="n">
        <v>88</v>
      </c>
      <c r="G62" s="9" t="n">
        <v>95</v>
      </c>
      <c r="H62" s="47" t="n"/>
      <c r="I62" s="7" t="inlineStr">
        <is>
          <t>Paid</t>
        </is>
      </c>
    </row>
    <row r="63">
      <c r="A63" s="46" t="n">
        <v>46308</v>
      </c>
      <c r="B63" s="7" t="inlineStr">
        <is>
          <t>INV-2026-0061</t>
        </is>
      </c>
      <c r="C63" s="7" t="inlineStr">
        <is>
          <t>East</t>
        </is>
      </c>
      <c r="D63" s="7" t="inlineStr">
        <is>
          <t>Rahul Sharma</t>
        </is>
      </c>
      <c r="E63" s="7" t="inlineStr">
        <is>
          <t>Tea A</t>
        </is>
      </c>
      <c r="F63" s="8" t="n">
        <v>102</v>
      </c>
      <c r="G63" s="9" t="n">
        <v>120</v>
      </c>
      <c r="H63" s="47" t="n"/>
      <c r="I63" s="7" t="inlineStr">
        <is>
          <t>Pending</t>
        </is>
      </c>
    </row>
    <row r="64">
      <c r="A64" s="46" t="n">
        <v>46308</v>
      </c>
      <c r="B64" s="7" t="inlineStr">
        <is>
          <t>INV-2026-0062</t>
        </is>
      </c>
      <c r="C64" s="7" t="inlineStr">
        <is>
          <t>East</t>
        </is>
      </c>
      <c r="D64" s="7" t="inlineStr">
        <is>
          <t>Pooja Nair</t>
        </is>
      </c>
      <c r="E64" s="7" t="inlineStr">
        <is>
          <t>Tea B</t>
        </is>
      </c>
      <c r="F64" s="8" t="n">
        <v>80</v>
      </c>
      <c r="G64" s="9" t="n">
        <v>95</v>
      </c>
      <c r="H64" s="47" t="n"/>
      <c r="I64" s="7" t="inlineStr">
        <is>
          <t>Paid</t>
        </is>
      </c>
    </row>
    <row r="65">
      <c r="A65" s="46" t="n">
        <v>46308</v>
      </c>
      <c r="B65" s="7" t="inlineStr">
        <is>
          <t>INV-2026-0063</t>
        </is>
      </c>
      <c r="C65" s="7" t="inlineStr">
        <is>
          <t>North</t>
        </is>
      </c>
      <c r="D65" s="7" t="inlineStr">
        <is>
          <t>Vikram Singh</t>
        </is>
      </c>
      <c r="E65" s="7" t="inlineStr">
        <is>
          <t>Tea C</t>
        </is>
      </c>
      <c r="F65" s="8" t="n">
        <v>81</v>
      </c>
      <c r="G65" s="9" t="n">
        <v>150</v>
      </c>
      <c r="H65" s="47" t="n"/>
      <c r="I65" s="7" t="inlineStr">
        <is>
          <t>Pending</t>
        </is>
      </c>
    </row>
    <row r="66">
      <c r="A66" s="46" t="n">
        <v>46308</v>
      </c>
      <c r="B66" s="7" t="inlineStr">
        <is>
          <t>INV-2026-0064</t>
        </is>
      </c>
      <c r="C66" s="7" t="inlineStr">
        <is>
          <t>West</t>
        </is>
      </c>
      <c r="D66" s="7" t="inlineStr">
        <is>
          <t>Amit Patel</t>
        </is>
      </c>
      <c r="E66" s="7" t="inlineStr">
        <is>
          <t>Tea C</t>
        </is>
      </c>
      <c r="F66" s="8" t="n">
        <v>25</v>
      </c>
      <c r="G66" s="9" t="n">
        <v>150</v>
      </c>
      <c r="H66" s="47" t="n"/>
      <c r="I66" s="7" t="inlineStr">
        <is>
          <t>Paid</t>
        </is>
      </c>
    </row>
    <row r="67">
      <c r="A67" s="46" t="n">
        <v>46308</v>
      </c>
      <c r="B67" s="7" t="inlineStr">
        <is>
          <t>INV-2026-0065</t>
        </is>
      </c>
      <c r="C67" s="7" t="inlineStr">
        <is>
          <t>North</t>
        </is>
      </c>
      <c r="D67" s="7" t="inlineStr">
        <is>
          <t>Vikram Singh</t>
        </is>
      </c>
      <c r="E67" s="7" t="inlineStr">
        <is>
          <t>Tea A</t>
        </is>
      </c>
      <c r="F67" s="8" t="n">
        <v>52</v>
      </c>
      <c r="G67" s="9" t="n">
        <v>120</v>
      </c>
      <c r="H67" s="47" t="n"/>
      <c r="I67" s="7" t="inlineStr">
        <is>
          <t>Pending</t>
        </is>
      </c>
    </row>
    <row r="68">
      <c r="A68" s="46" t="n">
        <v>46308</v>
      </c>
      <c r="B68" s="7" t="inlineStr">
        <is>
          <t>INV-2026-0066</t>
        </is>
      </c>
      <c r="C68" s="7" t="inlineStr">
        <is>
          <t>West</t>
        </is>
      </c>
      <c r="D68" s="7" t="inlineStr">
        <is>
          <t>Sneha Rao</t>
        </is>
      </c>
      <c r="E68" s="7" t="inlineStr">
        <is>
          <t>Tea A</t>
        </is>
      </c>
      <c r="F68" s="8" t="n">
        <v>16</v>
      </c>
      <c r="G68" s="9" t="n">
        <v>120</v>
      </c>
      <c r="H68" s="47" t="n"/>
      <c r="I68" s="7" t="inlineStr">
        <is>
          <t>Paid</t>
        </is>
      </c>
    </row>
    <row r="69">
      <c r="A69" s="46" t="n">
        <v>46308</v>
      </c>
      <c r="B69" s="7" t="inlineStr">
        <is>
          <t>INV-2026-0067</t>
        </is>
      </c>
      <c r="C69" s="7" t="inlineStr">
        <is>
          <t>East</t>
        </is>
      </c>
      <c r="D69" s="7" t="inlineStr">
        <is>
          <t>Rahul Sharma</t>
        </is>
      </c>
      <c r="E69" s="7" t="inlineStr">
        <is>
          <t>Tea C</t>
        </is>
      </c>
      <c r="F69" s="8" t="n">
        <v>67</v>
      </c>
      <c r="G69" s="9" t="n">
        <v>150</v>
      </c>
      <c r="H69" s="47" t="n"/>
      <c r="I69" s="7" t="inlineStr">
        <is>
          <t>Paid</t>
        </is>
      </c>
    </row>
    <row r="70">
      <c r="A70" s="46" t="n">
        <v>46309</v>
      </c>
      <c r="B70" s="7" t="inlineStr">
        <is>
          <t>INV-2026-0068</t>
        </is>
      </c>
      <c r="C70" s="7" t="inlineStr">
        <is>
          <t>North</t>
        </is>
      </c>
      <c r="D70" s="7" t="inlineStr">
        <is>
          <t>Vikram Singh</t>
        </is>
      </c>
      <c r="E70" s="7" t="inlineStr">
        <is>
          <t>Tea C</t>
        </is>
      </c>
      <c r="F70" s="8" t="n">
        <v>119</v>
      </c>
      <c r="G70" s="9" t="n">
        <v>150</v>
      </c>
      <c r="H70" s="47" t="n"/>
      <c r="I70" s="7" t="inlineStr">
        <is>
          <t>Paid</t>
        </is>
      </c>
    </row>
    <row r="71">
      <c r="A71" s="46" t="n">
        <v>46309</v>
      </c>
      <c r="B71" s="7" t="inlineStr">
        <is>
          <t>INV-2026-0069</t>
        </is>
      </c>
      <c r="C71" s="7" t="inlineStr">
        <is>
          <t>South</t>
        </is>
      </c>
      <c r="D71" s="7" t="inlineStr">
        <is>
          <t>Divya Menon</t>
        </is>
      </c>
      <c r="E71" s="7" t="inlineStr">
        <is>
          <t>Tea B</t>
        </is>
      </c>
      <c r="F71" s="8" t="n">
        <v>92</v>
      </c>
      <c r="G71" s="9" t="n">
        <v>95</v>
      </c>
      <c r="H71" s="47" t="n"/>
      <c r="I71" s="7" t="inlineStr">
        <is>
          <t>Paid</t>
        </is>
      </c>
    </row>
    <row r="72">
      <c r="A72" s="46" t="n">
        <v>46309</v>
      </c>
      <c r="B72" s="7" t="inlineStr">
        <is>
          <t>INV-2026-0070</t>
        </is>
      </c>
      <c r="C72" s="7" t="inlineStr">
        <is>
          <t>North</t>
        </is>
      </c>
      <c r="D72" s="7" t="inlineStr">
        <is>
          <t>Neha Gupta</t>
        </is>
      </c>
      <c r="E72" s="7" t="inlineStr">
        <is>
          <t>Tea B</t>
        </is>
      </c>
      <c r="F72" s="8" t="n">
        <v>108</v>
      </c>
      <c r="G72" s="9" t="n">
        <v>95</v>
      </c>
      <c r="H72" s="47" t="n"/>
      <c r="I72" s="7" t="inlineStr">
        <is>
          <t>Pending</t>
        </is>
      </c>
    </row>
    <row r="73">
      <c r="A73" s="46" t="n">
        <v>46310</v>
      </c>
      <c r="B73" s="7" t="inlineStr">
        <is>
          <t>INV-2026-0071</t>
        </is>
      </c>
      <c r="C73" s="7" t="inlineStr">
        <is>
          <t>West</t>
        </is>
      </c>
      <c r="D73" s="7" t="inlineStr">
        <is>
          <t>Sneha Rao</t>
        </is>
      </c>
      <c r="E73" s="7" t="inlineStr">
        <is>
          <t>Tea C</t>
        </is>
      </c>
      <c r="F73" s="8" t="n">
        <v>39</v>
      </c>
      <c r="G73" s="9" t="n">
        <v>150</v>
      </c>
      <c r="H73" s="47" t="n"/>
      <c r="I73" s="7" t="inlineStr">
        <is>
          <t>Paid</t>
        </is>
      </c>
    </row>
    <row r="74">
      <c r="A74" s="46" t="n">
        <v>46310</v>
      </c>
      <c r="B74" s="7" t="inlineStr">
        <is>
          <t>INV-2026-0072</t>
        </is>
      </c>
      <c r="C74" s="7" t="inlineStr">
        <is>
          <t>West</t>
        </is>
      </c>
      <c r="D74" s="7" t="inlineStr">
        <is>
          <t>Amit Patel</t>
        </is>
      </c>
      <c r="E74" s="7" t="inlineStr">
        <is>
          <t>Tea A</t>
        </is>
      </c>
      <c r="F74" s="8" t="n">
        <v>111</v>
      </c>
      <c r="G74" s="9" t="n">
        <v>120</v>
      </c>
      <c r="H74" s="47" t="n"/>
      <c r="I74" s="7" t="inlineStr">
        <is>
          <t>Paid</t>
        </is>
      </c>
    </row>
    <row r="75">
      <c r="A75" s="46" t="n">
        <v>46310</v>
      </c>
      <c r="B75" s="7" t="inlineStr">
        <is>
          <t>INV-2026-0073</t>
        </is>
      </c>
      <c r="C75" s="7" t="inlineStr">
        <is>
          <t>North</t>
        </is>
      </c>
      <c r="D75" s="7" t="inlineStr">
        <is>
          <t>Neha Gupta</t>
        </is>
      </c>
      <c r="E75" s="7" t="inlineStr">
        <is>
          <t>Tea C</t>
        </is>
      </c>
      <c r="F75" s="8" t="n">
        <v>85</v>
      </c>
      <c r="G75" s="9" t="n">
        <v>150</v>
      </c>
      <c r="H75" s="47" t="n"/>
      <c r="I75" s="7" t="inlineStr">
        <is>
          <t>Paid</t>
        </is>
      </c>
    </row>
    <row r="76">
      <c r="A76" s="46" t="n">
        <v>46310</v>
      </c>
      <c r="B76" s="7" t="inlineStr">
        <is>
          <t>INV-2026-0074</t>
        </is>
      </c>
      <c r="C76" s="7" t="inlineStr">
        <is>
          <t>South</t>
        </is>
      </c>
      <c r="D76" s="7" t="inlineStr">
        <is>
          <t>Arjun Reddy</t>
        </is>
      </c>
      <c r="E76" s="7" t="inlineStr">
        <is>
          <t>Tea C</t>
        </is>
      </c>
      <c r="F76" s="8" t="n">
        <v>80</v>
      </c>
      <c r="G76" s="9" t="n">
        <v>150</v>
      </c>
      <c r="H76" s="47" t="n"/>
      <c r="I76" s="7" t="inlineStr">
        <is>
          <t>Paid</t>
        </is>
      </c>
    </row>
    <row r="77">
      <c r="A77" s="46" t="n">
        <v>46310</v>
      </c>
      <c r="B77" s="7" t="inlineStr">
        <is>
          <t>INV-2026-0075</t>
        </is>
      </c>
      <c r="C77" s="7" t="inlineStr">
        <is>
          <t>East</t>
        </is>
      </c>
      <c r="D77" s="7" t="inlineStr">
        <is>
          <t>Pooja Nair</t>
        </is>
      </c>
      <c r="E77" s="7" t="inlineStr">
        <is>
          <t>Tea A</t>
        </is>
      </c>
      <c r="F77" s="8" t="n">
        <v>115</v>
      </c>
      <c r="G77" s="9" t="n">
        <v>120</v>
      </c>
      <c r="H77" s="47" t="n"/>
      <c r="I77" s="7" t="inlineStr">
        <is>
          <t>Paid</t>
        </is>
      </c>
    </row>
    <row r="78">
      <c r="A78" s="46" t="n">
        <v>46310</v>
      </c>
      <c r="B78" s="7" t="inlineStr">
        <is>
          <t>INV-2026-0076</t>
        </is>
      </c>
      <c r="C78" s="7" t="inlineStr">
        <is>
          <t>East</t>
        </is>
      </c>
      <c r="D78" s="7" t="inlineStr">
        <is>
          <t>Pooja Nair</t>
        </is>
      </c>
      <c r="E78" s="7" t="inlineStr">
        <is>
          <t>Tea C</t>
        </is>
      </c>
      <c r="F78" s="8" t="n">
        <v>14</v>
      </c>
      <c r="G78" s="9" t="n">
        <v>150</v>
      </c>
      <c r="H78" s="47" t="n"/>
      <c r="I78" s="7" t="inlineStr">
        <is>
          <t>Paid</t>
        </is>
      </c>
    </row>
    <row r="79">
      <c r="A79" s="46" t="n">
        <v>46310</v>
      </c>
      <c r="B79" s="7" t="inlineStr">
        <is>
          <t>INV-2026-0077</t>
        </is>
      </c>
      <c r="C79" s="7" t="inlineStr">
        <is>
          <t>South</t>
        </is>
      </c>
      <c r="D79" s="7" t="inlineStr">
        <is>
          <t>Divya Menon</t>
        </is>
      </c>
      <c r="E79" s="7" t="inlineStr">
        <is>
          <t>Tea C</t>
        </is>
      </c>
      <c r="F79" s="8" t="n">
        <v>82</v>
      </c>
      <c r="G79" s="9" t="n">
        <v>150</v>
      </c>
      <c r="H79" s="47" t="n"/>
      <c r="I79" s="7" t="inlineStr">
        <is>
          <t>Paid</t>
        </is>
      </c>
    </row>
    <row r="80">
      <c r="A80" s="46" t="n">
        <v>46310</v>
      </c>
      <c r="B80" s="7" t="inlineStr">
        <is>
          <t>INV-2026-0078</t>
        </is>
      </c>
      <c r="C80" s="7" t="inlineStr">
        <is>
          <t>West</t>
        </is>
      </c>
      <c r="D80" s="7" t="inlineStr">
        <is>
          <t>Amit Patel</t>
        </is>
      </c>
      <c r="E80" s="7" t="inlineStr">
        <is>
          <t>Tea A</t>
        </is>
      </c>
      <c r="F80" s="8" t="n">
        <v>9</v>
      </c>
      <c r="G80" s="9" t="n">
        <v>120</v>
      </c>
      <c r="H80" s="47" t="n"/>
      <c r="I80" s="7" t="inlineStr">
        <is>
          <t>Paid</t>
        </is>
      </c>
    </row>
    <row r="81">
      <c r="A81" s="46" t="n">
        <v>46310</v>
      </c>
      <c r="B81" s="7" t="inlineStr">
        <is>
          <t>INV-2026-0079</t>
        </is>
      </c>
      <c r="C81" s="7" t="inlineStr">
        <is>
          <t>North</t>
        </is>
      </c>
      <c r="D81" s="7" t="inlineStr">
        <is>
          <t>Vikram Singh</t>
        </is>
      </c>
      <c r="E81" s="7" t="inlineStr">
        <is>
          <t>Tea A</t>
        </is>
      </c>
      <c r="F81" s="8" t="n">
        <v>93</v>
      </c>
      <c r="G81" s="9" t="n">
        <v>120</v>
      </c>
      <c r="H81" s="47" t="n"/>
      <c r="I81" s="7" t="inlineStr">
        <is>
          <t>Paid</t>
        </is>
      </c>
    </row>
    <row r="82">
      <c r="A82" s="46" t="n">
        <v>46310</v>
      </c>
      <c r="B82" s="7" t="inlineStr">
        <is>
          <t>INV-2026-0080</t>
        </is>
      </c>
      <c r="C82" s="7" t="inlineStr">
        <is>
          <t>West</t>
        </is>
      </c>
      <c r="D82" s="7" t="inlineStr">
        <is>
          <t>Sneha Rao</t>
        </is>
      </c>
      <c r="E82" s="7" t="inlineStr">
        <is>
          <t>Tea C</t>
        </is>
      </c>
      <c r="F82" s="8" t="n">
        <v>115</v>
      </c>
      <c r="G82" s="9" t="n">
        <v>150</v>
      </c>
      <c r="H82" s="47" t="n"/>
      <c r="I82" s="7" t="inlineStr">
        <is>
          <t>Paid</t>
        </is>
      </c>
    </row>
    <row r="83">
      <c r="A83" s="46" t="n">
        <v>46310</v>
      </c>
      <c r="B83" s="7" t="inlineStr">
        <is>
          <t>INV-2026-0081</t>
        </is>
      </c>
      <c r="C83" s="7" t="inlineStr">
        <is>
          <t>East</t>
        </is>
      </c>
      <c r="D83" s="7" t="inlineStr">
        <is>
          <t>Pooja Nair</t>
        </is>
      </c>
      <c r="E83" s="7" t="inlineStr">
        <is>
          <t>Tea A</t>
        </is>
      </c>
      <c r="F83" s="8" t="n">
        <v>50</v>
      </c>
      <c r="G83" s="9" t="n">
        <v>120</v>
      </c>
      <c r="H83" s="47" t="n"/>
      <c r="I83" s="7" t="inlineStr">
        <is>
          <t>Paid</t>
        </is>
      </c>
    </row>
    <row r="84">
      <c r="A84" s="46" t="n">
        <v>46310</v>
      </c>
      <c r="B84" s="7" t="inlineStr">
        <is>
          <t>INV-2026-0082</t>
        </is>
      </c>
      <c r="C84" s="7" t="inlineStr">
        <is>
          <t>South</t>
        </is>
      </c>
      <c r="D84" s="7" t="inlineStr">
        <is>
          <t>Arjun Reddy</t>
        </is>
      </c>
      <c r="E84" s="7" t="inlineStr">
        <is>
          <t>Tea B</t>
        </is>
      </c>
      <c r="F84" s="8" t="n">
        <v>112</v>
      </c>
      <c r="G84" s="9" t="n">
        <v>95</v>
      </c>
      <c r="H84" s="47" t="n"/>
      <c r="I84" s="7" t="inlineStr">
        <is>
          <t>Pending</t>
        </is>
      </c>
    </row>
    <row r="85">
      <c r="A85" s="46" t="n">
        <v>46311</v>
      </c>
      <c r="B85" s="7" t="inlineStr">
        <is>
          <t>INV-2026-0083</t>
        </is>
      </c>
      <c r="C85" s="7" t="inlineStr">
        <is>
          <t>North</t>
        </is>
      </c>
      <c r="D85" s="7" t="inlineStr">
        <is>
          <t>Neha Gupta</t>
        </is>
      </c>
      <c r="E85" s="7" t="inlineStr">
        <is>
          <t>Tea B</t>
        </is>
      </c>
      <c r="F85" s="8" t="n">
        <v>73</v>
      </c>
      <c r="G85" s="9" t="n">
        <v>95</v>
      </c>
      <c r="H85" s="47" t="n"/>
      <c r="I85" s="7" t="inlineStr">
        <is>
          <t>Paid</t>
        </is>
      </c>
    </row>
    <row r="86">
      <c r="A86" s="46" t="n">
        <v>46311</v>
      </c>
      <c r="B86" s="7" t="inlineStr">
        <is>
          <t>INV-2026-0084</t>
        </is>
      </c>
      <c r="C86" s="7" t="inlineStr">
        <is>
          <t>West</t>
        </is>
      </c>
      <c r="D86" s="7" t="inlineStr">
        <is>
          <t>Sneha Rao</t>
        </is>
      </c>
      <c r="E86" s="7" t="inlineStr">
        <is>
          <t>Tea B</t>
        </is>
      </c>
      <c r="F86" s="8" t="n">
        <v>78</v>
      </c>
      <c r="G86" s="9" t="n">
        <v>95</v>
      </c>
      <c r="H86" s="47" t="n"/>
      <c r="I86" s="7" t="inlineStr">
        <is>
          <t>Paid</t>
        </is>
      </c>
    </row>
    <row r="87">
      <c r="A87" s="46" t="n">
        <v>46311</v>
      </c>
      <c r="B87" s="7" t="inlineStr">
        <is>
          <t>INV-2026-0085</t>
        </is>
      </c>
      <c r="C87" s="7" t="inlineStr">
        <is>
          <t>East</t>
        </is>
      </c>
      <c r="D87" s="7" t="inlineStr">
        <is>
          <t>Rahul Sharma</t>
        </is>
      </c>
      <c r="E87" s="7" t="inlineStr">
        <is>
          <t>Tea C</t>
        </is>
      </c>
      <c r="F87" s="8" t="n">
        <v>32</v>
      </c>
      <c r="G87" s="9" t="n">
        <v>150</v>
      </c>
      <c r="H87" s="47" t="n"/>
      <c r="I87" s="7" t="inlineStr">
        <is>
          <t>Paid</t>
        </is>
      </c>
    </row>
    <row r="88">
      <c r="A88" s="46" t="n">
        <v>46311</v>
      </c>
      <c r="B88" s="7" t="inlineStr">
        <is>
          <t>INV-2026-0086</t>
        </is>
      </c>
      <c r="C88" s="7" t="inlineStr">
        <is>
          <t>South</t>
        </is>
      </c>
      <c r="D88" s="7" t="inlineStr">
        <is>
          <t>Arjun Reddy</t>
        </is>
      </c>
      <c r="E88" s="7" t="inlineStr">
        <is>
          <t>Tea B</t>
        </is>
      </c>
      <c r="F88" s="8" t="n">
        <v>53</v>
      </c>
      <c r="G88" s="9" t="n">
        <v>95</v>
      </c>
      <c r="H88" s="47" t="n"/>
      <c r="I88" s="7" t="inlineStr">
        <is>
          <t>Paid</t>
        </is>
      </c>
    </row>
    <row r="89">
      <c r="A89" s="46" t="n">
        <v>46311</v>
      </c>
      <c r="B89" s="7" t="inlineStr">
        <is>
          <t>INV-2026-0087</t>
        </is>
      </c>
      <c r="C89" s="7" t="inlineStr">
        <is>
          <t>East</t>
        </is>
      </c>
      <c r="D89" s="7" t="inlineStr">
        <is>
          <t>Rahul Sharma</t>
        </is>
      </c>
      <c r="E89" s="7" t="inlineStr">
        <is>
          <t>Tea A</t>
        </is>
      </c>
      <c r="F89" s="8" t="n">
        <v>67</v>
      </c>
      <c r="G89" s="9" t="n">
        <v>120</v>
      </c>
      <c r="H89" s="47" t="n"/>
      <c r="I89" s="7" t="inlineStr">
        <is>
          <t>Paid</t>
        </is>
      </c>
    </row>
    <row r="90">
      <c r="A90" s="46" t="n">
        <v>46311</v>
      </c>
      <c r="B90" s="7" t="inlineStr">
        <is>
          <t>INV-2026-0088</t>
        </is>
      </c>
      <c r="C90" s="7" t="inlineStr">
        <is>
          <t>East</t>
        </is>
      </c>
      <c r="D90" s="7" t="inlineStr">
        <is>
          <t>Rahul Sharma</t>
        </is>
      </c>
      <c r="E90" s="7" t="inlineStr">
        <is>
          <t>Tea B</t>
        </is>
      </c>
      <c r="F90" s="8" t="n">
        <v>104</v>
      </c>
      <c r="G90" s="9" t="n">
        <v>95</v>
      </c>
      <c r="H90" s="47" t="n"/>
      <c r="I90" s="7" t="inlineStr">
        <is>
          <t>Paid</t>
        </is>
      </c>
    </row>
    <row r="91">
      <c r="A91" s="46" t="n">
        <v>46311</v>
      </c>
      <c r="B91" s="7" t="inlineStr">
        <is>
          <t>INV-2026-0089</t>
        </is>
      </c>
      <c r="C91" s="7" t="inlineStr">
        <is>
          <t>North</t>
        </is>
      </c>
      <c r="D91" s="7" t="inlineStr">
        <is>
          <t>Vikram Singh</t>
        </is>
      </c>
      <c r="E91" s="7" t="inlineStr">
        <is>
          <t>Tea B</t>
        </is>
      </c>
      <c r="F91" s="8" t="n">
        <v>73</v>
      </c>
      <c r="G91" s="9" t="n">
        <v>95</v>
      </c>
      <c r="H91" s="47" t="n"/>
      <c r="I91" s="7" t="inlineStr">
        <is>
          <t>Paid</t>
        </is>
      </c>
    </row>
    <row r="92">
      <c r="A92" s="46" t="n">
        <v>46311</v>
      </c>
      <c r="B92" s="7" t="inlineStr">
        <is>
          <t>INV-2026-0090</t>
        </is>
      </c>
      <c r="C92" s="7" t="inlineStr">
        <is>
          <t>West</t>
        </is>
      </c>
      <c r="D92" s="7" t="inlineStr">
        <is>
          <t>Sneha Rao</t>
        </is>
      </c>
      <c r="E92" s="7" t="inlineStr">
        <is>
          <t>Tea B</t>
        </is>
      </c>
      <c r="F92" s="8" t="n">
        <v>79</v>
      </c>
      <c r="G92" s="9" t="n">
        <v>95</v>
      </c>
      <c r="H92" s="47" t="n"/>
      <c r="I92" s="7" t="inlineStr">
        <is>
          <t>Paid</t>
        </is>
      </c>
    </row>
    <row r="93">
      <c r="A93" s="46" t="n">
        <v>46311</v>
      </c>
      <c r="B93" s="7" t="inlineStr">
        <is>
          <t>INV-2026-0091</t>
        </is>
      </c>
      <c r="C93" s="7" t="inlineStr">
        <is>
          <t>West</t>
        </is>
      </c>
      <c r="D93" s="7" t="inlineStr">
        <is>
          <t>Amit Patel</t>
        </is>
      </c>
      <c r="E93" s="7" t="inlineStr">
        <is>
          <t>Tea B</t>
        </is>
      </c>
      <c r="F93" s="8" t="n">
        <v>95</v>
      </c>
      <c r="G93" s="9" t="n">
        <v>95</v>
      </c>
      <c r="H93" s="47" t="n"/>
      <c r="I93" s="7" t="inlineStr">
        <is>
          <t>Paid</t>
        </is>
      </c>
    </row>
    <row r="94">
      <c r="A94" s="46" t="n">
        <v>46311</v>
      </c>
      <c r="B94" s="7" t="inlineStr">
        <is>
          <t>INV-2026-0092</t>
        </is>
      </c>
      <c r="C94" s="7" t="inlineStr">
        <is>
          <t>East</t>
        </is>
      </c>
      <c r="D94" s="7" t="inlineStr">
        <is>
          <t>Rahul Sharma</t>
        </is>
      </c>
      <c r="E94" s="7" t="inlineStr">
        <is>
          <t>Tea A</t>
        </is>
      </c>
      <c r="F94" s="8" t="n">
        <v>118</v>
      </c>
      <c r="G94" s="9" t="n">
        <v>120</v>
      </c>
      <c r="H94" s="47" t="n"/>
      <c r="I94" s="7" t="inlineStr">
        <is>
          <t>Paid</t>
        </is>
      </c>
    </row>
    <row r="95">
      <c r="A95" s="46" t="n">
        <v>46312</v>
      </c>
      <c r="B95" s="7" t="inlineStr">
        <is>
          <t>INV-2026-0093</t>
        </is>
      </c>
      <c r="C95" s="7" t="inlineStr">
        <is>
          <t>West</t>
        </is>
      </c>
      <c r="D95" s="7" t="inlineStr">
        <is>
          <t>Amit Patel</t>
        </is>
      </c>
      <c r="E95" s="7" t="inlineStr">
        <is>
          <t>Tea A</t>
        </is>
      </c>
      <c r="F95" s="8" t="n">
        <v>94</v>
      </c>
      <c r="G95" s="9" t="n">
        <v>120</v>
      </c>
      <c r="H95" s="47" t="n"/>
      <c r="I95" s="7" t="inlineStr">
        <is>
          <t>Paid</t>
        </is>
      </c>
    </row>
    <row r="96">
      <c r="A96" s="46" t="n">
        <v>46312</v>
      </c>
      <c r="B96" s="7" t="inlineStr">
        <is>
          <t>INV-2026-0094</t>
        </is>
      </c>
      <c r="C96" s="7" t="inlineStr">
        <is>
          <t>East</t>
        </is>
      </c>
      <c r="D96" s="7" t="inlineStr">
        <is>
          <t>Pooja Nair</t>
        </is>
      </c>
      <c r="E96" s="7" t="inlineStr">
        <is>
          <t>Tea C</t>
        </is>
      </c>
      <c r="F96" s="8" t="n">
        <v>115</v>
      </c>
      <c r="G96" s="9" t="n">
        <v>150</v>
      </c>
      <c r="H96" s="47" t="n"/>
      <c r="I96" s="7" t="inlineStr">
        <is>
          <t>Paid</t>
        </is>
      </c>
    </row>
    <row r="97">
      <c r="A97" s="46" t="n">
        <v>46312</v>
      </c>
      <c r="B97" s="7" t="inlineStr">
        <is>
          <t>INV-2026-0095</t>
        </is>
      </c>
      <c r="C97" s="7" t="inlineStr">
        <is>
          <t>West</t>
        </is>
      </c>
      <c r="D97" s="7" t="inlineStr">
        <is>
          <t>Sneha Rao</t>
        </is>
      </c>
      <c r="E97" s="7" t="inlineStr">
        <is>
          <t>Tea A</t>
        </is>
      </c>
      <c r="F97" s="8" t="n">
        <v>11</v>
      </c>
      <c r="G97" s="9" t="n">
        <v>120</v>
      </c>
      <c r="H97" s="47" t="n"/>
      <c r="I97" s="7" t="inlineStr">
        <is>
          <t>Paid</t>
        </is>
      </c>
    </row>
    <row r="98">
      <c r="A98" s="46" t="n">
        <v>46312</v>
      </c>
      <c r="B98" s="7" t="inlineStr">
        <is>
          <t>INV-2026-0096</t>
        </is>
      </c>
      <c r="C98" s="7" t="inlineStr">
        <is>
          <t>North</t>
        </is>
      </c>
      <c r="D98" s="7" t="inlineStr">
        <is>
          <t>Neha Gupta</t>
        </is>
      </c>
      <c r="E98" s="7" t="inlineStr">
        <is>
          <t>Tea B</t>
        </is>
      </c>
      <c r="F98" s="8" t="n">
        <v>51</v>
      </c>
      <c r="G98" s="9" t="n">
        <v>95</v>
      </c>
      <c r="H98" s="47" t="n"/>
      <c r="I98" s="7" t="inlineStr">
        <is>
          <t>Paid</t>
        </is>
      </c>
    </row>
    <row r="99">
      <c r="A99" s="46" t="n">
        <v>46313</v>
      </c>
      <c r="B99" s="7" t="inlineStr">
        <is>
          <t>INV-2026-0097</t>
        </is>
      </c>
      <c r="C99" s="7" t="inlineStr">
        <is>
          <t>West</t>
        </is>
      </c>
      <c r="D99" s="7" t="inlineStr">
        <is>
          <t>Sneha Rao</t>
        </is>
      </c>
      <c r="E99" s="7" t="inlineStr">
        <is>
          <t>Tea B</t>
        </is>
      </c>
      <c r="F99" s="8" t="n">
        <v>62</v>
      </c>
      <c r="G99" s="9" t="n">
        <v>95</v>
      </c>
      <c r="H99" s="47" t="n"/>
      <c r="I99" s="7" t="inlineStr">
        <is>
          <t>Paid</t>
        </is>
      </c>
    </row>
    <row r="100">
      <c r="A100" s="46" t="n">
        <v>46313</v>
      </c>
      <c r="B100" s="7" t="inlineStr">
        <is>
          <t>INV-2026-0098</t>
        </is>
      </c>
      <c r="C100" s="7" t="inlineStr">
        <is>
          <t>North</t>
        </is>
      </c>
      <c r="D100" s="7" t="inlineStr">
        <is>
          <t>Vikram Singh</t>
        </is>
      </c>
      <c r="E100" s="7" t="inlineStr">
        <is>
          <t>Tea B</t>
        </is>
      </c>
      <c r="F100" s="8" t="n">
        <v>118</v>
      </c>
      <c r="G100" s="9" t="n">
        <v>95</v>
      </c>
      <c r="H100" s="47" t="n"/>
      <c r="I100" s="7" t="inlineStr">
        <is>
          <t>Paid</t>
        </is>
      </c>
    </row>
    <row r="101">
      <c r="A101" s="46" t="n">
        <v>46313</v>
      </c>
      <c r="B101" s="7" t="inlineStr">
        <is>
          <t>INV-2026-0099</t>
        </is>
      </c>
      <c r="C101" s="7" t="inlineStr">
        <is>
          <t>East</t>
        </is>
      </c>
      <c r="D101" s="7" t="inlineStr">
        <is>
          <t>Pooja Nair</t>
        </is>
      </c>
      <c r="E101" s="7" t="inlineStr">
        <is>
          <t>Tea B</t>
        </is>
      </c>
      <c r="F101" s="8" t="n">
        <v>110</v>
      </c>
      <c r="G101" s="9" t="n">
        <v>95</v>
      </c>
      <c r="H101" s="47" t="n"/>
      <c r="I101" s="7" t="inlineStr">
        <is>
          <t>Paid</t>
        </is>
      </c>
    </row>
    <row r="102">
      <c r="A102" s="46" t="n">
        <v>46313</v>
      </c>
      <c r="B102" s="7" t="inlineStr">
        <is>
          <t>INV-2026-0100</t>
        </is>
      </c>
      <c r="C102" s="7" t="inlineStr">
        <is>
          <t>South</t>
        </is>
      </c>
      <c r="D102" s="7" t="inlineStr">
        <is>
          <t>Arjun Reddy</t>
        </is>
      </c>
      <c r="E102" s="7" t="inlineStr">
        <is>
          <t>Tea C</t>
        </is>
      </c>
      <c r="F102" s="8" t="n">
        <v>112</v>
      </c>
      <c r="G102" s="9" t="n">
        <v>150</v>
      </c>
      <c r="H102" s="47" t="n"/>
      <c r="I102" s="7" t="inlineStr">
        <is>
          <t>Paid</t>
        </is>
      </c>
    </row>
    <row r="103">
      <c r="A103" s="46" t="n">
        <v>46313</v>
      </c>
      <c r="B103" s="7" t="inlineStr">
        <is>
          <t>INV-2026-0101</t>
        </is>
      </c>
      <c r="C103" s="7" t="inlineStr">
        <is>
          <t>West</t>
        </is>
      </c>
      <c r="D103" s="7" t="inlineStr">
        <is>
          <t>Amit Patel</t>
        </is>
      </c>
      <c r="E103" s="7" t="inlineStr">
        <is>
          <t>Tea C</t>
        </is>
      </c>
      <c r="F103" s="8" t="n">
        <v>110</v>
      </c>
      <c r="G103" s="9" t="n">
        <v>150</v>
      </c>
      <c r="H103" s="47" t="n"/>
      <c r="I103" s="7" t="inlineStr">
        <is>
          <t>Pending</t>
        </is>
      </c>
    </row>
    <row r="104">
      <c r="A104" s="46" t="n">
        <v>46313</v>
      </c>
      <c r="B104" s="7" t="inlineStr">
        <is>
          <t>INV-2026-0102</t>
        </is>
      </c>
      <c r="C104" s="7" t="inlineStr">
        <is>
          <t>North</t>
        </is>
      </c>
      <c r="D104" s="7" t="inlineStr">
        <is>
          <t>Neha Gupta</t>
        </is>
      </c>
      <c r="E104" s="7" t="inlineStr">
        <is>
          <t>Tea C</t>
        </is>
      </c>
      <c r="F104" s="8" t="n">
        <v>64</v>
      </c>
      <c r="G104" s="9" t="n">
        <v>150</v>
      </c>
      <c r="H104" s="47" t="n"/>
      <c r="I104" s="7" t="inlineStr">
        <is>
          <t>Paid</t>
        </is>
      </c>
    </row>
    <row r="105">
      <c r="A105" s="46" t="n">
        <v>46314</v>
      </c>
      <c r="B105" s="7" t="inlineStr">
        <is>
          <t>INV-2026-0103</t>
        </is>
      </c>
      <c r="C105" s="7" t="inlineStr">
        <is>
          <t>South</t>
        </is>
      </c>
      <c r="D105" s="7" t="inlineStr">
        <is>
          <t>Arjun Reddy</t>
        </is>
      </c>
      <c r="E105" s="7" t="inlineStr">
        <is>
          <t>Tea C</t>
        </is>
      </c>
      <c r="F105" s="8" t="n">
        <v>114</v>
      </c>
      <c r="G105" s="9" t="n">
        <v>150</v>
      </c>
      <c r="H105" s="47" t="n"/>
      <c r="I105" s="7" t="inlineStr">
        <is>
          <t>Paid</t>
        </is>
      </c>
    </row>
    <row r="106">
      <c r="A106" s="46" t="n">
        <v>46314</v>
      </c>
      <c r="B106" s="7" t="inlineStr">
        <is>
          <t>INV-2026-0104</t>
        </is>
      </c>
      <c r="C106" s="7" t="inlineStr">
        <is>
          <t>North</t>
        </is>
      </c>
      <c r="D106" s="7" t="inlineStr">
        <is>
          <t>Neha Gupta</t>
        </is>
      </c>
      <c r="E106" s="7" t="inlineStr">
        <is>
          <t>Tea A</t>
        </is>
      </c>
      <c r="F106" s="8" t="n">
        <v>63</v>
      </c>
      <c r="G106" s="9" t="n">
        <v>120</v>
      </c>
      <c r="H106" s="47" t="n"/>
      <c r="I106" s="7" t="inlineStr">
        <is>
          <t>Paid</t>
        </is>
      </c>
    </row>
    <row r="107">
      <c r="A107" s="46" t="n">
        <v>46314</v>
      </c>
      <c r="B107" s="7" t="inlineStr">
        <is>
          <t>INV-2026-0105</t>
        </is>
      </c>
      <c r="C107" s="7" t="inlineStr">
        <is>
          <t>North</t>
        </is>
      </c>
      <c r="D107" s="7" t="inlineStr">
        <is>
          <t>Neha Gupta</t>
        </is>
      </c>
      <c r="E107" s="7" t="inlineStr">
        <is>
          <t>Tea B</t>
        </is>
      </c>
      <c r="F107" s="8" t="n">
        <v>65</v>
      </c>
      <c r="G107" s="9" t="n">
        <v>95</v>
      </c>
      <c r="H107" s="47" t="n"/>
      <c r="I107" s="7" t="inlineStr">
        <is>
          <t>Paid</t>
        </is>
      </c>
    </row>
    <row r="108">
      <c r="A108" s="46" t="n">
        <v>46314</v>
      </c>
      <c r="B108" s="7" t="inlineStr">
        <is>
          <t>INV-2026-0106</t>
        </is>
      </c>
      <c r="C108" s="7" t="inlineStr">
        <is>
          <t>West</t>
        </is>
      </c>
      <c r="D108" s="7" t="inlineStr">
        <is>
          <t>Sneha Rao</t>
        </is>
      </c>
      <c r="E108" s="7" t="inlineStr">
        <is>
          <t>Tea C</t>
        </is>
      </c>
      <c r="F108" s="8" t="n">
        <v>79</v>
      </c>
      <c r="G108" s="9" t="n">
        <v>150</v>
      </c>
      <c r="H108" s="47" t="n"/>
      <c r="I108" s="7" t="inlineStr">
        <is>
          <t>Paid</t>
        </is>
      </c>
    </row>
    <row r="109">
      <c r="A109" s="46" t="n">
        <v>46314</v>
      </c>
      <c r="B109" s="7" t="inlineStr">
        <is>
          <t>INV-2026-0107</t>
        </is>
      </c>
      <c r="C109" s="7" t="inlineStr">
        <is>
          <t>East</t>
        </is>
      </c>
      <c r="D109" s="7" t="inlineStr">
        <is>
          <t>Rahul Sharma</t>
        </is>
      </c>
      <c r="E109" s="7" t="inlineStr">
        <is>
          <t>Tea A</t>
        </is>
      </c>
      <c r="F109" s="8" t="n">
        <v>73</v>
      </c>
      <c r="G109" s="9" t="n">
        <v>120</v>
      </c>
      <c r="H109" s="47" t="n"/>
      <c r="I109" s="7" t="inlineStr">
        <is>
          <t>Paid</t>
        </is>
      </c>
    </row>
    <row r="110">
      <c r="A110" s="46" t="n">
        <v>46314</v>
      </c>
      <c r="B110" s="7" t="inlineStr">
        <is>
          <t>INV-2026-0108</t>
        </is>
      </c>
      <c r="C110" s="7" t="inlineStr">
        <is>
          <t>North</t>
        </is>
      </c>
      <c r="D110" s="7" t="inlineStr">
        <is>
          <t>Neha Gupta</t>
        </is>
      </c>
      <c r="E110" s="7" t="inlineStr">
        <is>
          <t>Tea A</t>
        </is>
      </c>
      <c r="F110" s="8" t="n">
        <v>23</v>
      </c>
      <c r="G110" s="9" t="n">
        <v>120</v>
      </c>
      <c r="H110" s="47" t="n"/>
      <c r="I110" s="7" t="inlineStr">
        <is>
          <t>Paid</t>
        </is>
      </c>
    </row>
    <row r="111">
      <c r="A111" s="46" t="n">
        <v>46315</v>
      </c>
      <c r="B111" s="7" t="inlineStr">
        <is>
          <t>INV-2026-0109</t>
        </is>
      </c>
      <c r="C111" s="7" t="inlineStr">
        <is>
          <t>South</t>
        </is>
      </c>
      <c r="D111" s="7" t="inlineStr">
        <is>
          <t>Divya Menon</t>
        </is>
      </c>
      <c r="E111" s="7" t="inlineStr">
        <is>
          <t>Tea A</t>
        </is>
      </c>
      <c r="F111" s="8" t="n">
        <v>46</v>
      </c>
      <c r="G111" s="9" t="n">
        <v>120</v>
      </c>
      <c r="H111" s="47" t="n"/>
      <c r="I111" s="7" t="inlineStr">
        <is>
          <t>Paid</t>
        </is>
      </c>
    </row>
    <row r="112">
      <c r="A112" s="46" t="n">
        <v>46315</v>
      </c>
      <c r="B112" s="7" t="inlineStr">
        <is>
          <t>INV-2026-0110</t>
        </is>
      </c>
      <c r="C112" s="7" t="inlineStr">
        <is>
          <t>South</t>
        </is>
      </c>
      <c r="D112" s="7" t="inlineStr">
        <is>
          <t>Arjun Reddy</t>
        </is>
      </c>
      <c r="E112" s="7" t="inlineStr">
        <is>
          <t>Tea C</t>
        </is>
      </c>
      <c r="F112" s="8" t="n">
        <v>59</v>
      </c>
      <c r="G112" s="9" t="n">
        <v>150</v>
      </c>
      <c r="H112" s="47" t="n"/>
      <c r="I112" s="7" t="inlineStr">
        <is>
          <t>Paid</t>
        </is>
      </c>
    </row>
    <row r="113">
      <c r="A113" s="46" t="n">
        <v>46315</v>
      </c>
      <c r="B113" s="7" t="inlineStr">
        <is>
          <t>INV-2026-0111</t>
        </is>
      </c>
      <c r="C113" s="7" t="inlineStr">
        <is>
          <t>North</t>
        </is>
      </c>
      <c r="D113" s="7" t="inlineStr">
        <is>
          <t>Vikram Singh</t>
        </is>
      </c>
      <c r="E113" s="7" t="inlineStr">
        <is>
          <t>Tea B</t>
        </is>
      </c>
      <c r="F113" s="8" t="n">
        <v>63</v>
      </c>
      <c r="G113" s="9" t="n">
        <v>95</v>
      </c>
      <c r="H113" s="47" t="n"/>
      <c r="I113" s="7" t="inlineStr">
        <is>
          <t>Paid</t>
        </is>
      </c>
    </row>
    <row r="114">
      <c r="A114" s="46" t="n">
        <v>46315</v>
      </c>
      <c r="B114" s="7" t="inlineStr">
        <is>
          <t>INV-2026-0112</t>
        </is>
      </c>
      <c r="C114" s="7" t="inlineStr">
        <is>
          <t>East</t>
        </is>
      </c>
      <c r="D114" s="7" t="inlineStr">
        <is>
          <t>Rahul Sharma</t>
        </is>
      </c>
      <c r="E114" s="7" t="inlineStr">
        <is>
          <t>Tea C</t>
        </is>
      </c>
      <c r="F114" s="8" t="n">
        <v>62</v>
      </c>
      <c r="G114" s="9" t="n">
        <v>150</v>
      </c>
      <c r="H114" s="47" t="n"/>
      <c r="I114" s="7" t="inlineStr">
        <is>
          <t>Paid</t>
        </is>
      </c>
    </row>
    <row r="115">
      <c r="A115" s="46" t="n">
        <v>46315</v>
      </c>
      <c r="B115" s="7" t="inlineStr">
        <is>
          <t>INV-2026-0113</t>
        </is>
      </c>
      <c r="C115" s="7" t="inlineStr">
        <is>
          <t>East</t>
        </is>
      </c>
      <c r="D115" s="7" t="inlineStr">
        <is>
          <t>Pooja Nair</t>
        </is>
      </c>
      <c r="E115" s="7" t="inlineStr">
        <is>
          <t>Tea A</t>
        </is>
      </c>
      <c r="F115" s="8" t="n">
        <v>21</v>
      </c>
      <c r="G115" s="9" t="n">
        <v>120</v>
      </c>
      <c r="H115" s="47" t="n"/>
      <c r="I115" s="7" t="inlineStr">
        <is>
          <t>Paid</t>
        </is>
      </c>
    </row>
    <row r="116">
      <c r="A116" s="46" t="n">
        <v>46316</v>
      </c>
      <c r="B116" s="7" t="inlineStr">
        <is>
          <t>INV-2026-0114</t>
        </is>
      </c>
      <c r="C116" s="7" t="inlineStr">
        <is>
          <t>East</t>
        </is>
      </c>
      <c r="D116" s="7" t="inlineStr">
        <is>
          <t>Rahul Sharma</t>
        </is>
      </c>
      <c r="E116" s="7" t="inlineStr">
        <is>
          <t>Tea C</t>
        </is>
      </c>
      <c r="F116" s="8" t="n">
        <v>45</v>
      </c>
      <c r="G116" s="9" t="n">
        <v>150</v>
      </c>
      <c r="H116" s="47" t="n"/>
      <c r="I116" s="7" t="inlineStr">
        <is>
          <t>Pending</t>
        </is>
      </c>
    </row>
    <row r="117">
      <c r="A117" s="46" t="n">
        <v>46316</v>
      </c>
      <c r="B117" s="7" t="inlineStr">
        <is>
          <t>INV-2026-0115</t>
        </is>
      </c>
      <c r="C117" s="7" t="inlineStr">
        <is>
          <t>East</t>
        </is>
      </c>
      <c r="D117" s="7" t="inlineStr">
        <is>
          <t>Pooja Nair</t>
        </is>
      </c>
      <c r="E117" s="7" t="inlineStr">
        <is>
          <t>Tea B</t>
        </is>
      </c>
      <c r="F117" s="8" t="n">
        <v>79</v>
      </c>
      <c r="G117" s="9" t="n">
        <v>95</v>
      </c>
      <c r="H117" s="47" t="n"/>
      <c r="I117" s="7" t="inlineStr">
        <is>
          <t>Paid</t>
        </is>
      </c>
    </row>
    <row r="118">
      <c r="A118" s="46" t="n">
        <v>46317</v>
      </c>
      <c r="B118" s="7" t="inlineStr">
        <is>
          <t>INV-2026-0116</t>
        </is>
      </c>
      <c r="C118" s="7" t="inlineStr">
        <is>
          <t>West</t>
        </is>
      </c>
      <c r="D118" s="7" t="inlineStr">
        <is>
          <t>Amit Patel</t>
        </is>
      </c>
      <c r="E118" s="7" t="inlineStr">
        <is>
          <t>Tea A</t>
        </is>
      </c>
      <c r="F118" s="8" t="n">
        <v>64</v>
      </c>
      <c r="G118" s="9" t="n">
        <v>120</v>
      </c>
      <c r="H118" s="47" t="n"/>
      <c r="I118" s="7" t="inlineStr">
        <is>
          <t>Paid</t>
        </is>
      </c>
    </row>
    <row r="119">
      <c r="A119" s="46" t="n">
        <v>46317</v>
      </c>
      <c r="B119" s="7" t="inlineStr">
        <is>
          <t>INV-2026-0117</t>
        </is>
      </c>
      <c r="C119" s="7" t="inlineStr">
        <is>
          <t>South</t>
        </is>
      </c>
      <c r="D119" s="7" t="inlineStr">
        <is>
          <t>Arjun Reddy</t>
        </is>
      </c>
      <c r="E119" s="7" t="inlineStr">
        <is>
          <t>Tea B</t>
        </is>
      </c>
      <c r="F119" s="8" t="n">
        <v>21</v>
      </c>
      <c r="G119" s="9" t="n">
        <v>95</v>
      </c>
      <c r="H119" s="47" t="n"/>
      <c r="I119" s="7" t="inlineStr">
        <is>
          <t>Paid</t>
        </is>
      </c>
    </row>
    <row r="120">
      <c r="A120" s="46" t="n">
        <v>46317</v>
      </c>
      <c r="B120" s="7" t="inlineStr">
        <is>
          <t>INV-2026-0118</t>
        </is>
      </c>
      <c r="C120" s="7" t="inlineStr">
        <is>
          <t>North</t>
        </is>
      </c>
      <c r="D120" s="7" t="inlineStr">
        <is>
          <t>Vikram Singh</t>
        </is>
      </c>
      <c r="E120" s="7" t="inlineStr">
        <is>
          <t>Tea C</t>
        </is>
      </c>
      <c r="F120" s="8" t="n">
        <v>48</v>
      </c>
      <c r="G120" s="9" t="n">
        <v>150</v>
      </c>
      <c r="H120" s="47" t="n"/>
      <c r="I120" s="7" t="inlineStr">
        <is>
          <t>Paid</t>
        </is>
      </c>
    </row>
    <row r="121">
      <c r="A121" s="46" t="n">
        <v>46317</v>
      </c>
      <c r="B121" s="7" t="inlineStr">
        <is>
          <t>INV-2026-0119</t>
        </is>
      </c>
      <c r="C121" s="7" t="inlineStr">
        <is>
          <t>East</t>
        </is>
      </c>
      <c r="D121" s="7" t="inlineStr">
        <is>
          <t>Pooja Nair</t>
        </is>
      </c>
      <c r="E121" s="7" t="inlineStr">
        <is>
          <t>Tea C</t>
        </is>
      </c>
      <c r="F121" s="8" t="n">
        <v>19</v>
      </c>
      <c r="G121" s="9" t="n">
        <v>150</v>
      </c>
      <c r="H121" s="47" t="n"/>
      <c r="I121" s="7" t="inlineStr">
        <is>
          <t>Pending</t>
        </is>
      </c>
    </row>
    <row r="122">
      <c r="A122" s="46" t="n">
        <v>46317</v>
      </c>
      <c r="B122" s="7" t="inlineStr">
        <is>
          <t>INV-2026-0120</t>
        </is>
      </c>
      <c r="C122" s="7" t="inlineStr">
        <is>
          <t>North</t>
        </is>
      </c>
      <c r="D122" s="7" t="inlineStr">
        <is>
          <t>Neha Gupta</t>
        </is>
      </c>
      <c r="E122" s="7" t="inlineStr">
        <is>
          <t>Tea C</t>
        </is>
      </c>
      <c r="F122" s="8" t="n">
        <v>51</v>
      </c>
      <c r="G122" s="9" t="n">
        <v>150</v>
      </c>
      <c r="H122" s="47" t="n"/>
      <c r="I122" s="7" t="inlineStr">
        <is>
          <t>Paid</t>
        </is>
      </c>
    </row>
    <row r="123">
      <c r="A123" s="46" t="n">
        <v>46317</v>
      </c>
      <c r="B123" s="7" t="inlineStr">
        <is>
          <t>INV-2026-0121</t>
        </is>
      </c>
      <c r="C123" s="7" t="inlineStr">
        <is>
          <t>West</t>
        </is>
      </c>
      <c r="D123" s="7" t="inlineStr">
        <is>
          <t>Sneha Rao</t>
        </is>
      </c>
      <c r="E123" s="7" t="inlineStr">
        <is>
          <t>Tea A</t>
        </is>
      </c>
      <c r="F123" s="8" t="n">
        <v>12</v>
      </c>
      <c r="G123" s="9" t="n">
        <v>120</v>
      </c>
      <c r="H123" s="47" t="n"/>
      <c r="I123" s="7" t="inlineStr">
        <is>
          <t>Paid</t>
        </is>
      </c>
    </row>
    <row r="124">
      <c r="A124" s="46" t="n">
        <v>46317</v>
      </c>
      <c r="B124" s="7" t="inlineStr">
        <is>
          <t>INV-2026-0122</t>
        </is>
      </c>
      <c r="C124" s="7" t="inlineStr">
        <is>
          <t>South</t>
        </is>
      </c>
      <c r="D124" s="7" t="inlineStr">
        <is>
          <t>Arjun Reddy</t>
        </is>
      </c>
      <c r="E124" s="7" t="inlineStr">
        <is>
          <t>Tea C</t>
        </is>
      </c>
      <c r="F124" s="8" t="n">
        <v>16</v>
      </c>
      <c r="G124" s="9" t="n">
        <v>150</v>
      </c>
      <c r="H124" s="47" t="n"/>
      <c r="I124" s="7" t="inlineStr">
        <is>
          <t>Paid</t>
        </is>
      </c>
    </row>
    <row r="125">
      <c r="A125" s="46" t="n">
        <v>46318</v>
      </c>
      <c r="B125" s="7" t="inlineStr">
        <is>
          <t>INV-2026-0123</t>
        </is>
      </c>
      <c r="C125" s="7" t="inlineStr">
        <is>
          <t>North</t>
        </is>
      </c>
      <c r="D125" s="7" t="inlineStr">
        <is>
          <t>Vikram Singh</t>
        </is>
      </c>
      <c r="E125" s="7" t="inlineStr">
        <is>
          <t>Tea C</t>
        </is>
      </c>
      <c r="F125" s="8" t="n">
        <v>106</v>
      </c>
      <c r="G125" s="9" t="n">
        <v>150</v>
      </c>
      <c r="H125" s="47" t="n"/>
      <c r="I125" s="7" t="inlineStr">
        <is>
          <t>Pending</t>
        </is>
      </c>
    </row>
    <row r="126">
      <c r="A126" s="46" t="n">
        <v>46318</v>
      </c>
      <c r="B126" s="7" t="inlineStr">
        <is>
          <t>INV-2026-0124</t>
        </is>
      </c>
      <c r="C126" s="7" t="inlineStr">
        <is>
          <t>East</t>
        </is>
      </c>
      <c r="D126" s="7" t="inlineStr">
        <is>
          <t>Pooja Nair</t>
        </is>
      </c>
      <c r="E126" s="7" t="inlineStr">
        <is>
          <t>Tea C</t>
        </is>
      </c>
      <c r="F126" s="8" t="n">
        <v>43</v>
      </c>
      <c r="G126" s="9" t="n">
        <v>150</v>
      </c>
      <c r="H126" s="47" t="n"/>
      <c r="I126" s="7" t="inlineStr">
        <is>
          <t>Pending</t>
        </is>
      </c>
    </row>
    <row r="127">
      <c r="A127" s="46" t="n">
        <v>46318</v>
      </c>
      <c r="B127" s="7" t="inlineStr">
        <is>
          <t>INV-2026-0125</t>
        </is>
      </c>
      <c r="C127" s="7" t="inlineStr">
        <is>
          <t>West</t>
        </is>
      </c>
      <c r="D127" s="7" t="inlineStr">
        <is>
          <t>Amit Patel</t>
        </is>
      </c>
      <c r="E127" s="7" t="inlineStr">
        <is>
          <t>Tea A</t>
        </is>
      </c>
      <c r="F127" s="8" t="n">
        <v>78</v>
      </c>
      <c r="G127" s="9" t="n">
        <v>120</v>
      </c>
      <c r="H127" s="47" t="n"/>
      <c r="I127" s="7" t="inlineStr">
        <is>
          <t>Paid</t>
        </is>
      </c>
    </row>
    <row r="128">
      <c r="A128" s="46" t="n">
        <v>46318</v>
      </c>
      <c r="B128" s="7" t="inlineStr">
        <is>
          <t>INV-2026-0126</t>
        </is>
      </c>
      <c r="C128" s="7" t="inlineStr">
        <is>
          <t>East</t>
        </is>
      </c>
      <c r="D128" s="7" t="inlineStr">
        <is>
          <t>Rahul Sharma</t>
        </is>
      </c>
      <c r="E128" s="7" t="inlineStr">
        <is>
          <t>Tea B</t>
        </is>
      </c>
      <c r="F128" s="8" t="n">
        <v>103</v>
      </c>
      <c r="G128" s="9" t="n">
        <v>95</v>
      </c>
      <c r="H128" s="47" t="n"/>
      <c r="I128" s="7" t="inlineStr">
        <is>
          <t>Paid</t>
        </is>
      </c>
    </row>
    <row r="129">
      <c r="A129" s="46" t="n">
        <v>46318</v>
      </c>
      <c r="B129" s="7" t="inlineStr">
        <is>
          <t>INV-2026-0127</t>
        </is>
      </c>
      <c r="C129" s="7" t="inlineStr">
        <is>
          <t>North</t>
        </is>
      </c>
      <c r="D129" s="7" t="inlineStr">
        <is>
          <t>Vikram Singh</t>
        </is>
      </c>
      <c r="E129" s="7" t="inlineStr">
        <is>
          <t>Tea C</t>
        </is>
      </c>
      <c r="F129" s="8" t="n">
        <v>78</v>
      </c>
      <c r="G129" s="9" t="n">
        <v>150</v>
      </c>
      <c r="H129" s="47" t="n"/>
      <c r="I129" s="7" t="inlineStr">
        <is>
          <t>Paid</t>
        </is>
      </c>
    </row>
    <row r="130">
      <c r="A130" s="46" t="n">
        <v>46318</v>
      </c>
      <c r="B130" s="7" t="inlineStr">
        <is>
          <t>INV-2026-0128</t>
        </is>
      </c>
      <c r="C130" s="7" t="inlineStr">
        <is>
          <t>South</t>
        </is>
      </c>
      <c r="D130" s="7" t="inlineStr">
        <is>
          <t>Divya Menon</t>
        </is>
      </c>
      <c r="E130" s="7" t="inlineStr">
        <is>
          <t>Tea B</t>
        </is>
      </c>
      <c r="F130" s="8" t="n">
        <v>55</v>
      </c>
      <c r="G130" s="9" t="n">
        <v>95</v>
      </c>
      <c r="H130" s="47" t="n"/>
      <c r="I130" s="7" t="inlineStr">
        <is>
          <t>Paid</t>
        </is>
      </c>
    </row>
    <row r="131">
      <c r="A131" s="46" t="n">
        <v>46318</v>
      </c>
      <c r="B131" s="7" t="inlineStr">
        <is>
          <t>INV-2026-0129</t>
        </is>
      </c>
      <c r="C131" s="7" t="inlineStr">
        <is>
          <t>East</t>
        </is>
      </c>
      <c r="D131" s="7" t="inlineStr">
        <is>
          <t>Pooja Nair</t>
        </is>
      </c>
      <c r="E131" s="7" t="inlineStr">
        <is>
          <t>Tea C</t>
        </is>
      </c>
      <c r="F131" s="8" t="n">
        <v>87</v>
      </c>
      <c r="G131" s="9" t="n">
        <v>150</v>
      </c>
      <c r="H131" s="47" t="n"/>
      <c r="I131" s="7" t="inlineStr">
        <is>
          <t>Pending</t>
        </is>
      </c>
    </row>
    <row r="132">
      <c r="A132" s="46" t="n">
        <v>46318</v>
      </c>
      <c r="B132" s="7" t="inlineStr">
        <is>
          <t>INV-2026-0130</t>
        </is>
      </c>
      <c r="C132" s="7" t="inlineStr">
        <is>
          <t>East</t>
        </is>
      </c>
      <c r="D132" s="7" t="inlineStr">
        <is>
          <t>Rahul Sharma</t>
        </is>
      </c>
      <c r="E132" s="7" t="inlineStr">
        <is>
          <t>Tea A</t>
        </is>
      </c>
      <c r="F132" s="8" t="n">
        <v>18</v>
      </c>
      <c r="G132" s="9" t="n">
        <v>120</v>
      </c>
      <c r="H132" s="47" t="n"/>
      <c r="I132" s="7" t="inlineStr">
        <is>
          <t>Paid</t>
        </is>
      </c>
    </row>
    <row r="133">
      <c r="A133" s="46" t="n">
        <v>46318</v>
      </c>
      <c r="B133" s="7" t="inlineStr">
        <is>
          <t>INV-2026-0131</t>
        </is>
      </c>
      <c r="C133" s="7" t="inlineStr">
        <is>
          <t>West</t>
        </is>
      </c>
      <c r="D133" s="7" t="inlineStr">
        <is>
          <t>Sneha Rao</t>
        </is>
      </c>
      <c r="E133" s="7" t="inlineStr">
        <is>
          <t>Tea B</t>
        </is>
      </c>
      <c r="F133" s="8" t="n">
        <v>80</v>
      </c>
      <c r="G133" s="9" t="n">
        <v>95</v>
      </c>
      <c r="H133" s="47" t="n"/>
      <c r="I133" s="7" t="inlineStr">
        <is>
          <t>Paid</t>
        </is>
      </c>
    </row>
    <row r="134">
      <c r="A134" s="46" t="n">
        <v>46319</v>
      </c>
      <c r="B134" s="7" t="inlineStr">
        <is>
          <t>INV-2026-0132</t>
        </is>
      </c>
      <c r="C134" s="7" t="inlineStr">
        <is>
          <t>North</t>
        </is>
      </c>
      <c r="D134" s="7" t="inlineStr">
        <is>
          <t>Neha Gupta</t>
        </is>
      </c>
      <c r="E134" s="7" t="inlineStr">
        <is>
          <t>Tea C</t>
        </is>
      </c>
      <c r="F134" s="8" t="n">
        <v>117</v>
      </c>
      <c r="G134" s="9" t="n">
        <v>150</v>
      </c>
      <c r="H134" s="47" t="n"/>
      <c r="I134" s="7" t="inlineStr">
        <is>
          <t>Paid</t>
        </is>
      </c>
    </row>
    <row r="135">
      <c r="A135" s="46" t="n">
        <v>46319</v>
      </c>
      <c r="B135" s="7" t="inlineStr">
        <is>
          <t>INV-2026-0133</t>
        </is>
      </c>
      <c r="C135" s="7" t="inlineStr">
        <is>
          <t>East</t>
        </is>
      </c>
      <c r="D135" s="7" t="inlineStr">
        <is>
          <t>Pooja Nair</t>
        </is>
      </c>
      <c r="E135" s="7" t="inlineStr">
        <is>
          <t>Tea A</t>
        </is>
      </c>
      <c r="F135" s="8" t="n">
        <v>42</v>
      </c>
      <c r="G135" s="9" t="n">
        <v>120</v>
      </c>
      <c r="H135" s="47" t="n"/>
      <c r="I135" s="7" t="inlineStr">
        <is>
          <t>Pending</t>
        </is>
      </c>
    </row>
    <row r="136">
      <c r="A136" s="46" t="n">
        <v>46319</v>
      </c>
      <c r="B136" s="7" t="inlineStr">
        <is>
          <t>INV-2026-0134</t>
        </is>
      </c>
      <c r="C136" s="7" t="inlineStr">
        <is>
          <t>East</t>
        </is>
      </c>
      <c r="D136" s="7" t="inlineStr">
        <is>
          <t>Rahul Sharma</t>
        </is>
      </c>
      <c r="E136" s="7" t="inlineStr">
        <is>
          <t>Tea C</t>
        </is>
      </c>
      <c r="F136" s="8" t="n">
        <v>63</v>
      </c>
      <c r="G136" s="9" t="n">
        <v>150</v>
      </c>
      <c r="H136" s="47" t="n"/>
      <c r="I136" s="7" t="inlineStr">
        <is>
          <t>Paid</t>
        </is>
      </c>
    </row>
    <row r="137">
      <c r="A137" s="46" t="n">
        <v>46319</v>
      </c>
      <c r="B137" s="7" t="inlineStr">
        <is>
          <t>INV-2026-0135</t>
        </is>
      </c>
      <c r="C137" s="7" t="inlineStr">
        <is>
          <t>South</t>
        </is>
      </c>
      <c r="D137" s="7" t="inlineStr">
        <is>
          <t>Arjun Reddy</t>
        </is>
      </c>
      <c r="E137" s="7" t="inlineStr">
        <is>
          <t>Tea B</t>
        </is>
      </c>
      <c r="F137" s="8" t="n">
        <v>64</v>
      </c>
      <c r="G137" s="9" t="n">
        <v>95</v>
      </c>
      <c r="H137" s="47" t="n"/>
      <c r="I137" s="7" t="inlineStr">
        <is>
          <t>Paid</t>
        </is>
      </c>
    </row>
    <row r="138">
      <c r="A138" s="46" t="n">
        <v>46319</v>
      </c>
      <c r="B138" s="7" t="inlineStr">
        <is>
          <t>INV-2026-0136</t>
        </is>
      </c>
      <c r="C138" s="7" t="inlineStr">
        <is>
          <t>West</t>
        </is>
      </c>
      <c r="D138" s="7" t="inlineStr">
        <is>
          <t>Amit Patel</t>
        </is>
      </c>
      <c r="E138" s="7" t="inlineStr">
        <is>
          <t>Tea B</t>
        </is>
      </c>
      <c r="F138" s="8" t="n">
        <v>111</v>
      </c>
      <c r="G138" s="9" t="n">
        <v>95</v>
      </c>
      <c r="H138" s="47" t="n"/>
      <c r="I138" s="7" t="inlineStr">
        <is>
          <t>Paid</t>
        </is>
      </c>
    </row>
    <row r="139">
      <c r="A139" s="46" t="n">
        <v>46320</v>
      </c>
      <c r="B139" s="7" t="inlineStr">
        <is>
          <t>INV-2026-0137</t>
        </is>
      </c>
      <c r="C139" s="7" t="inlineStr">
        <is>
          <t>East</t>
        </is>
      </c>
      <c r="D139" s="7" t="inlineStr">
        <is>
          <t>Rahul Sharma</t>
        </is>
      </c>
      <c r="E139" s="7" t="inlineStr">
        <is>
          <t>Tea B</t>
        </is>
      </c>
      <c r="F139" s="8" t="n">
        <v>110</v>
      </c>
      <c r="G139" s="9" t="n">
        <v>95</v>
      </c>
      <c r="H139" s="47" t="n"/>
      <c r="I139" s="7" t="inlineStr">
        <is>
          <t>Paid</t>
        </is>
      </c>
    </row>
    <row r="140">
      <c r="A140" s="46" t="n">
        <v>46320</v>
      </c>
      <c r="B140" s="7" t="inlineStr">
        <is>
          <t>INV-2026-0138</t>
        </is>
      </c>
      <c r="C140" s="7" t="inlineStr">
        <is>
          <t>West</t>
        </is>
      </c>
      <c r="D140" s="7" t="inlineStr">
        <is>
          <t>Sneha Rao</t>
        </is>
      </c>
      <c r="E140" s="7" t="inlineStr">
        <is>
          <t>Tea A</t>
        </is>
      </c>
      <c r="F140" s="8" t="n">
        <v>111</v>
      </c>
      <c r="G140" s="9" t="n">
        <v>120</v>
      </c>
      <c r="H140" s="47" t="n"/>
      <c r="I140" s="7" t="inlineStr">
        <is>
          <t>Paid</t>
        </is>
      </c>
    </row>
    <row r="141">
      <c r="A141" s="46" t="n">
        <v>46320</v>
      </c>
      <c r="B141" s="7" t="inlineStr">
        <is>
          <t>INV-2026-0139</t>
        </is>
      </c>
      <c r="C141" s="7" t="inlineStr">
        <is>
          <t>East</t>
        </is>
      </c>
      <c r="D141" s="7" t="inlineStr">
        <is>
          <t>Pooja Nair</t>
        </is>
      </c>
      <c r="E141" s="7" t="inlineStr">
        <is>
          <t>Tea B</t>
        </is>
      </c>
      <c r="F141" s="8" t="n">
        <v>90</v>
      </c>
      <c r="G141" s="9" t="n">
        <v>95</v>
      </c>
      <c r="H141" s="47" t="n"/>
      <c r="I141" s="7" t="inlineStr">
        <is>
          <t>Pending</t>
        </is>
      </c>
    </row>
    <row r="142">
      <c r="A142" s="46" t="n">
        <v>46320</v>
      </c>
      <c r="B142" s="7" t="inlineStr">
        <is>
          <t>INV-2026-0140</t>
        </is>
      </c>
      <c r="C142" s="7" t="inlineStr">
        <is>
          <t>South</t>
        </is>
      </c>
      <c r="D142" s="7" t="inlineStr">
        <is>
          <t>Divya Menon</t>
        </is>
      </c>
      <c r="E142" s="7" t="inlineStr">
        <is>
          <t>Tea B</t>
        </is>
      </c>
      <c r="F142" s="8" t="n">
        <v>105</v>
      </c>
      <c r="G142" s="9" t="n">
        <v>95</v>
      </c>
      <c r="H142" s="47" t="n"/>
      <c r="I142" s="7" t="inlineStr">
        <is>
          <t>Pending</t>
        </is>
      </c>
    </row>
    <row r="143">
      <c r="A143" s="46" t="n">
        <v>46320</v>
      </c>
      <c r="B143" s="7" t="inlineStr">
        <is>
          <t>INV-2026-0141</t>
        </is>
      </c>
      <c r="C143" s="7" t="inlineStr">
        <is>
          <t>South</t>
        </is>
      </c>
      <c r="D143" s="7" t="inlineStr">
        <is>
          <t>Arjun Reddy</t>
        </is>
      </c>
      <c r="E143" s="7" t="inlineStr">
        <is>
          <t>Tea B</t>
        </is>
      </c>
      <c r="F143" s="8" t="n">
        <v>63</v>
      </c>
      <c r="G143" s="9" t="n">
        <v>95</v>
      </c>
      <c r="H143" s="47" t="n"/>
      <c r="I143" s="7" t="inlineStr">
        <is>
          <t>Paid</t>
        </is>
      </c>
    </row>
    <row r="144">
      <c r="A144" s="46" t="n">
        <v>46320</v>
      </c>
      <c r="B144" s="7" t="inlineStr">
        <is>
          <t>INV-2026-0142</t>
        </is>
      </c>
      <c r="C144" s="7" t="inlineStr">
        <is>
          <t>South</t>
        </is>
      </c>
      <c r="D144" s="7" t="inlineStr">
        <is>
          <t>Divya Menon</t>
        </is>
      </c>
      <c r="E144" s="7" t="inlineStr">
        <is>
          <t>Tea B</t>
        </is>
      </c>
      <c r="F144" s="8" t="n">
        <v>11</v>
      </c>
      <c r="G144" s="9" t="n">
        <v>95</v>
      </c>
      <c r="H144" s="47" t="n"/>
      <c r="I144" s="7" t="inlineStr">
        <is>
          <t>Pending</t>
        </is>
      </c>
    </row>
    <row r="145">
      <c r="A145" s="46" t="n">
        <v>46320</v>
      </c>
      <c r="B145" s="7" t="inlineStr">
        <is>
          <t>INV-2026-0143</t>
        </is>
      </c>
      <c r="C145" s="7" t="inlineStr">
        <is>
          <t>West</t>
        </is>
      </c>
      <c r="D145" s="7" t="inlineStr">
        <is>
          <t>Sneha Rao</t>
        </is>
      </c>
      <c r="E145" s="7" t="inlineStr">
        <is>
          <t>Tea C</t>
        </is>
      </c>
      <c r="F145" s="8" t="n">
        <v>49</v>
      </c>
      <c r="G145" s="9" t="n">
        <v>150</v>
      </c>
      <c r="H145" s="47" t="n"/>
      <c r="I145" s="7" t="inlineStr">
        <is>
          <t>Pending</t>
        </is>
      </c>
    </row>
    <row r="146">
      <c r="A146" s="46" t="n">
        <v>46320</v>
      </c>
      <c r="B146" s="7" t="inlineStr">
        <is>
          <t>INV-2026-0144</t>
        </is>
      </c>
      <c r="C146" s="7" t="inlineStr">
        <is>
          <t>South</t>
        </is>
      </c>
      <c r="D146" s="7" t="inlineStr">
        <is>
          <t>Divya Menon</t>
        </is>
      </c>
      <c r="E146" s="7" t="inlineStr">
        <is>
          <t>Tea C</t>
        </is>
      </c>
      <c r="F146" s="8" t="n">
        <v>90</v>
      </c>
      <c r="G146" s="9" t="n">
        <v>150</v>
      </c>
      <c r="H146" s="47" t="n"/>
      <c r="I146" s="7" t="inlineStr">
        <is>
          <t>Paid</t>
        </is>
      </c>
    </row>
    <row r="147">
      <c r="A147" s="46" t="n">
        <v>46321</v>
      </c>
      <c r="B147" s="7" t="inlineStr">
        <is>
          <t>INV-2026-0145</t>
        </is>
      </c>
      <c r="C147" s="7" t="inlineStr">
        <is>
          <t>North</t>
        </is>
      </c>
      <c r="D147" s="7" t="inlineStr">
        <is>
          <t>Vikram Singh</t>
        </is>
      </c>
      <c r="E147" s="7" t="inlineStr">
        <is>
          <t>Tea A</t>
        </is>
      </c>
      <c r="F147" s="8" t="n">
        <v>30</v>
      </c>
      <c r="G147" s="9" t="n">
        <v>120</v>
      </c>
      <c r="H147" s="47" t="n"/>
      <c r="I147" s="7" t="inlineStr">
        <is>
          <t>Paid</t>
        </is>
      </c>
    </row>
    <row r="148">
      <c r="A148" s="46" t="n">
        <v>46321</v>
      </c>
      <c r="B148" s="7" t="inlineStr">
        <is>
          <t>INV-2026-0146</t>
        </is>
      </c>
      <c r="C148" s="7" t="inlineStr">
        <is>
          <t>West</t>
        </is>
      </c>
      <c r="D148" s="7" t="inlineStr">
        <is>
          <t>Amit Patel</t>
        </is>
      </c>
      <c r="E148" s="7" t="inlineStr">
        <is>
          <t>Tea C</t>
        </is>
      </c>
      <c r="F148" s="8" t="n">
        <v>16</v>
      </c>
      <c r="G148" s="9" t="n">
        <v>150</v>
      </c>
      <c r="H148" s="47" t="n"/>
      <c r="I148" s="7" t="inlineStr">
        <is>
          <t>Paid</t>
        </is>
      </c>
    </row>
    <row r="149">
      <c r="A149" s="46" t="n">
        <v>46321</v>
      </c>
      <c r="B149" s="7" t="inlineStr">
        <is>
          <t>INV-2026-0147</t>
        </is>
      </c>
      <c r="C149" s="7" t="inlineStr">
        <is>
          <t>East</t>
        </is>
      </c>
      <c r="D149" s="7" t="inlineStr">
        <is>
          <t>Pooja Nair</t>
        </is>
      </c>
      <c r="E149" s="7" t="inlineStr">
        <is>
          <t>Tea C</t>
        </is>
      </c>
      <c r="F149" s="8" t="n">
        <v>92</v>
      </c>
      <c r="G149" s="9" t="n">
        <v>150</v>
      </c>
      <c r="H149" s="47" t="n"/>
      <c r="I149" s="7" t="inlineStr">
        <is>
          <t>Pending</t>
        </is>
      </c>
    </row>
    <row r="150">
      <c r="A150" s="46" t="n">
        <v>46321</v>
      </c>
      <c r="B150" s="7" t="inlineStr">
        <is>
          <t>INV-2026-0148</t>
        </is>
      </c>
      <c r="C150" s="7" t="inlineStr">
        <is>
          <t>North</t>
        </is>
      </c>
      <c r="D150" s="7" t="inlineStr">
        <is>
          <t>Vikram Singh</t>
        </is>
      </c>
      <c r="E150" s="7" t="inlineStr">
        <is>
          <t>Tea A</t>
        </is>
      </c>
      <c r="F150" s="8" t="n">
        <v>58</v>
      </c>
      <c r="G150" s="9" t="n">
        <v>120</v>
      </c>
      <c r="H150" s="47" t="n"/>
      <c r="I150" s="7" t="inlineStr">
        <is>
          <t>Paid</t>
        </is>
      </c>
    </row>
    <row r="151">
      <c r="A151" s="46" t="n">
        <v>46321</v>
      </c>
      <c r="B151" s="7" t="inlineStr">
        <is>
          <t>INV-2026-0149</t>
        </is>
      </c>
      <c r="C151" s="7" t="inlineStr">
        <is>
          <t>South</t>
        </is>
      </c>
      <c r="D151" s="7" t="inlineStr">
        <is>
          <t>Arjun Reddy</t>
        </is>
      </c>
      <c r="E151" s="7" t="inlineStr">
        <is>
          <t>Tea B</t>
        </is>
      </c>
      <c r="F151" s="8" t="n">
        <v>65</v>
      </c>
      <c r="G151" s="9" t="n">
        <v>95</v>
      </c>
      <c r="H151" s="47" t="n"/>
      <c r="I151" s="7" t="inlineStr">
        <is>
          <t>Pending</t>
        </is>
      </c>
    </row>
    <row r="152">
      <c r="A152" s="46" t="n">
        <v>46321</v>
      </c>
      <c r="B152" s="7" t="inlineStr">
        <is>
          <t>INV-2026-0150</t>
        </is>
      </c>
      <c r="C152" s="7" t="inlineStr">
        <is>
          <t>East</t>
        </is>
      </c>
      <c r="D152" s="7" t="inlineStr">
        <is>
          <t>Pooja Nair</t>
        </is>
      </c>
      <c r="E152" s="7" t="inlineStr">
        <is>
          <t>Tea C</t>
        </is>
      </c>
      <c r="F152" s="8" t="n">
        <v>99</v>
      </c>
      <c r="G152" s="9" t="n">
        <v>150</v>
      </c>
      <c r="H152" s="47" t="n"/>
      <c r="I152" s="7" t="inlineStr">
        <is>
          <t>Paid</t>
        </is>
      </c>
    </row>
    <row r="153">
      <c r="A153" s="46" t="n">
        <v>46321</v>
      </c>
      <c r="B153" s="7" t="inlineStr">
        <is>
          <t>INV-2026-0151</t>
        </is>
      </c>
      <c r="C153" s="7" t="inlineStr">
        <is>
          <t>South</t>
        </is>
      </c>
      <c r="D153" s="7" t="inlineStr">
        <is>
          <t>Arjun Reddy</t>
        </is>
      </c>
      <c r="E153" s="7" t="inlineStr">
        <is>
          <t>Tea B</t>
        </is>
      </c>
      <c r="F153" s="8" t="n">
        <v>34</v>
      </c>
      <c r="G153" s="9" t="n">
        <v>95</v>
      </c>
      <c r="H153" s="47" t="n"/>
      <c r="I153" s="7" t="inlineStr">
        <is>
          <t>Paid</t>
        </is>
      </c>
    </row>
    <row r="154">
      <c r="A154" s="46" t="n">
        <v>46322</v>
      </c>
      <c r="B154" s="7" t="inlineStr">
        <is>
          <t>INV-2026-0152</t>
        </is>
      </c>
      <c r="C154" s="7" t="inlineStr">
        <is>
          <t>South</t>
        </is>
      </c>
      <c r="D154" s="7" t="inlineStr">
        <is>
          <t>Arjun Reddy</t>
        </is>
      </c>
      <c r="E154" s="7" t="inlineStr">
        <is>
          <t>Tea C</t>
        </is>
      </c>
      <c r="F154" s="8" t="n">
        <v>22</v>
      </c>
      <c r="G154" s="9" t="n">
        <v>150</v>
      </c>
      <c r="H154" s="47" t="n"/>
      <c r="I154" s="7" t="inlineStr">
        <is>
          <t>Paid</t>
        </is>
      </c>
    </row>
    <row r="155">
      <c r="A155" s="46" t="n">
        <v>46322</v>
      </c>
      <c r="B155" s="7" t="inlineStr">
        <is>
          <t>INV-2026-0153</t>
        </is>
      </c>
      <c r="C155" s="7" t="inlineStr">
        <is>
          <t>West</t>
        </is>
      </c>
      <c r="D155" s="7" t="inlineStr">
        <is>
          <t>Amit Patel</t>
        </is>
      </c>
      <c r="E155" s="7" t="inlineStr">
        <is>
          <t>Tea A</t>
        </is>
      </c>
      <c r="F155" s="8" t="n">
        <v>39</v>
      </c>
      <c r="G155" s="9" t="n">
        <v>120</v>
      </c>
      <c r="H155" s="47" t="n"/>
      <c r="I155" s="7" t="inlineStr">
        <is>
          <t>Pending</t>
        </is>
      </c>
    </row>
    <row r="156">
      <c r="A156" s="46" t="n">
        <v>46322</v>
      </c>
      <c r="B156" s="7" t="inlineStr">
        <is>
          <t>INV-2026-0154</t>
        </is>
      </c>
      <c r="C156" s="7" t="inlineStr">
        <is>
          <t>South</t>
        </is>
      </c>
      <c r="D156" s="7" t="inlineStr">
        <is>
          <t>Divya Menon</t>
        </is>
      </c>
      <c r="E156" s="7" t="inlineStr">
        <is>
          <t>Tea B</t>
        </is>
      </c>
      <c r="F156" s="8" t="n">
        <v>88</v>
      </c>
      <c r="G156" s="9" t="n">
        <v>95</v>
      </c>
      <c r="H156" s="47" t="n"/>
      <c r="I156" s="7" t="inlineStr">
        <is>
          <t>Pending</t>
        </is>
      </c>
    </row>
    <row r="157">
      <c r="A157" s="46" t="n">
        <v>46322</v>
      </c>
      <c r="B157" s="7" t="inlineStr">
        <is>
          <t>INV-2026-0155</t>
        </is>
      </c>
      <c r="C157" s="7" t="inlineStr">
        <is>
          <t>North</t>
        </is>
      </c>
      <c r="D157" s="7" t="inlineStr">
        <is>
          <t>Neha Gupta</t>
        </is>
      </c>
      <c r="E157" s="7" t="inlineStr">
        <is>
          <t>Tea B</t>
        </is>
      </c>
      <c r="F157" s="8" t="n">
        <v>62</v>
      </c>
      <c r="G157" s="9" t="n">
        <v>95</v>
      </c>
      <c r="H157" s="47" t="n"/>
      <c r="I157" s="7" t="inlineStr">
        <is>
          <t>Pending</t>
        </is>
      </c>
    </row>
    <row r="158">
      <c r="A158" s="46" t="n">
        <v>46322</v>
      </c>
      <c r="B158" s="7" t="inlineStr">
        <is>
          <t>INV-2026-0156</t>
        </is>
      </c>
      <c r="C158" s="7" t="inlineStr">
        <is>
          <t>East</t>
        </is>
      </c>
      <c r="D158" s="7" t="inlineStr">
        <is>
          <t>Rahul Sharma</t>
        </is>
      </c>
      <c r="E158" s="7" t="inlineStr">
        <is>
          <t>Tea B</t>
        </is>
      </c>
      <c r="F158" s="8" t="n">
        <v>36</v>
      </c>
      <c r="G158" s="9" t="n">
        <v>95</v>
      </c>
      <c r="H158" s="47" t="n"/>
      <c r="I158" s="7" t="inlineStr">
        <is>
          <t>Paid</t>
        </is>
      </c>
    </row>
    <row r="159">
      <c r="A159" s="46" t="n">
        <v>46322</v>
      </c>
      <c r="B159" s="7" t="inlineStr">
        <is>
          <t>INV-2026-0157</t>
        </is>
      </c>
      <c r="C159" s="7" t="inlineStr">
        <is>
          <t>West</t>
        </is>
      </c>
      <c r="D159" s="7" t="inlineStr">
        <is>
          <t>Sneha Rao</t>
        </is>
      </c>
      <c r="E159" s="7" t="inlineStr">
        <is>
          <t>Tea A</t>
        </is>
      </c>
      <c r="F159" s="8" t="n">
        <v>68</v>
      </c>
      <c r="G159" s="9" t="n">
        <v>120</v>
      </c>
      <c r="H159" s="47" t="n"/>
      <c r="I159" s="7" t="inlineStr">
        <is>
          <t>Paid</t>
        </is>
      </c>
    </row>
    <row r="160">
      <c r="A160" s="46" t="n">
        <v>46322</v>
      </c>
      <c r="B160" s="7" t="inlineStr">
        <is>
          <t>INV-2026-0158</t>
        </is>
      </c>
      <c r="C160" s="7" t="inlineStr">
        <is>
          <t>South</t>
        </is>
      </c>
      <c r="D160" s="7" t="inlineStr">
        <is>
          <t>Divya Menon</t>
        </is>
      </c>
      <c r="E160" s="7" t="inlineStr">
        <is>
          <t>Tea C</t>
        </is>
      </c>
      <c r="F160" s="8" t="n">
        <v>120</v>
      </c>
      <c r="G160" s="9" t="n">
        <v>150</v>
      </c>
      <c r="H160" s="47" t="n"/>
      <c r="I160" s="7" t="inlineStr">
        <is>
          <t>Pending</t>
        </is>
      </c>
    </row>
    <row r="161">
      <c r="A161" s="46" t="n">
        <v>46323</v>
      </c>
      <c r="B161" s="7" t="inlineStr">
        <is>
          <t>INV-2026-0159</t>
        </is>
      </c>
      <c r="C161" s="7" t="inlineStr">
        <is>
          <t>North</t>
        </is>
      </c>
      <c r="D161" s="7" t="inlineStr">
        <is>
          <t>Vikram Singh</t>
        </is>
      </c>
      <c r="E161" s="7" t="inlineStr">
        <is>
          <t>Tea C</t>
        </is>
      </c>
      <c r="F161" s="8" t="n">
        <v>5</v>
      </c>
      <c r="G161" s="9" t="n">
        <v>150</v>
      </c>
      <c r="H161" s="47" t="n"/>
      <c r="I161" s="7" t="inlineStr">
        <is>
          <t>Paid</t>
        </is>
      </c>
    </row>
    <row r="162">
      <c r="A162" s="46" t="n">
        <v>46324</v>
      </c>
      <c r="B162" s="7" t="inlineStr">
        <is>
          <t>INV-2026-0160</t>
        </is>
      </c>
      <c r="C162" s="7" t="inlineStr">
        <is>
          <t>West</t>
        </is>
      </c>
      <c r="D162" s="7" t="inlineStr">
        <is>
          <t>Sneha Rao</t>
        </is>
      </c>
      <c r="E162" s="7" t="inlineStr">
        <is>
          <t>Tea C</t>
        </is>
      </c>
      <c r="F162" s="8" t="n">
        <v>79</v>
      </c>
      <c r="G162" s="9" t="n">
        <v>150</v>
      </c>
      <c r="H162" s="47" t="n"/>
      <c r="I162" s="7" t="inlineStr">
        <is>
          <t>Pending</t>
        </is>
      </c>
    </row>
    <row r="163">
      <c r="A163" s="46" t="n">
        <v>46324</v>
      </c>
      <c r="B163" s="7" t="inlineStr">
        <is>
          <t>INV-2026-0161</t>
        </is>
      </c>
      <c r="C163" s="7" t="inlineStr">
        <is>
          <t>South</t>
        </is>
      </c>
      <c r="D163" s="7" t="inlineStr">
        <is>
          <t>Arjun Reddy</t>
        </is>
      </c>
      <c r="E163" s="7" t="inlineStr">
        <is>
          <t>Tea C</t>
        </is>
      </c>
      <c r="F163" s="8" t="n">
        <v>70</v>
      </c>
      <c r="G163" s="9" t="n">
        <v>150</v>
      </c>
      <c r="H163" s="47" t="n"/>
      <c r="I163" s="7" t="inlineStr">
        <is>
          <t>Paid</t>
        </is>
      </c>
    </row>
    <row r="164">
      <c r="A164" s="46" t="n">
        <v>46324</v>
      </c>
      <c r="B164" s="7" t="inlineStr">
        <is>
          <t>INV-2026-0162</t>
        </is>
      </c>
      <c r="C164" s="7" t="inlineStr">
        <is>
          <t>North</t>
        </is>
      </c>
      <c r="D164" s="7" t="inlineStr">
        <is>
          <t>Vikram Singh</t>
        </is>
      </c>
      <c r="E164" s="7" t="inlineStr">
        <is>
          <t>Tea B</t>
        </is>
      </c>
      <c r="F164" s="8" t="n">
        <v>100</v>
      </c>
      <c r="G164" s="9" t="n">
        <v>95</v>
      </c>
      <c r="H164" s="47" t="n"/>
      <c r="I164" s="7" t="inlineStr">
        <is>
          <t>Paid</t>
        </is>
      </c>
    </row>
    <row r="165">
      <c r="A165" s="46" t="n">
        <v>46324</v>
      </c>
      <c r="B165" s="7" t="inlineStr">
        <is>
          <t>INV-2026-0163</t>
        </is>
      </c>
      <c r="C165" s="7" t="inlineStr">
        <is>
          <t>North</t>
        </is>
      </c>
      <c r="D165" s="7" t="inlineStr">
        <is>
          <t>Vikram Singh</t>
        </is>
      </c>
      <c r="E165" s="7" t="inlineStr">
        <is>
          <t>Tea B</t>
        </is>
      </c>
      <c r="F165" s="8" t="n">
        <v>74</v>
      </c>
      <c r="G165" s="9" t="n">
        <v>95</v>
      </c>
      <c r="H165" s="47" t="n"/>
      <c r="I165" s="7" t="inlineStr">
        <is>
          <t>Pending</t>
        </is>
      </c>
    </row>
    <row r="166">
      <c r="A166" s="46" t="n">
        <v>46324</v>
      </c>
      <c r="B166" s="7" t="inlineStr">
        <is>
          <t>INV-2026-0164</t>
        </is>
      </c>
      <c r="C166" s="7" t="inlineStr">
        <is>
          <t>South</t>
        </is>
      </c>
      <c r="D166" s="7" t="inlineStr">
        <is>
          <t>Divya Menon</t>
        </is>
      </c>
      <c r="E166" s="7" t="inlineStr">
        <is>
          <t>Tea C</t>
        </is>
      </c>
      <c r="F166" s="8" t="n">
        <v>89</v>
      </c>
      <c r="G166" s="9" t="n">
        <v>150</v>
      </c>
      <c r="H166" s="47" t="n"/>
      <c r="I166" s="7" t="inlineStr">
        <is>
          <t>Paid</t>
        </is>
      </c>
    </row>
    <row r="167">
      <c r="A167" s="46" t="n">
        <v>46324</v>
      </c>
      <c r="B167" s="7" t="inlineStr">
        <is>
          <t>INV-2026-0165</t>
        </is>
      </c>
      <c r="C167" s="7" t="inlineStr">
        <is>
          <t>West</t>
        </is>
      </c>
      <c r="D167" s="7" t="inlineStr">
        <is>
          <t>Sneha Rao</t>
        </is>
      </c>
      <c r="E167" s="7" t="inlineStr">
        <is>
          <t>Tea C</t>
        </is>
      </c>
      <c r="F167" s="8" t="n">
        <v>94</v>
      </c>
      <c r="G167" s="9" t="n">
        <v>150</v>
      </c>
      <c r="H167" s="47" t="n"/>
      <c r="I167" s="7" t="inlineStr">
        <is>
          <t>Pending</t>
        </is>
      </c>
    </row>
    <row r="168">
      <c r="A168" s="46" t="n">
        <v>46324</v>
      </c>
      <c r="B168" s="7" t="inlineStr">
        <is>
          <t>INV-2026-0166</t>
        </is>
      </c>
      <c r="C168" s="7" t="inlineStr">
        <is>
          <t>West</t>
        </is>
      </c>
      <c r="D168" s="7" t="inlineStr">
        <is>
          <t>Amit Patel</t>
        </is>
      </c>
      <c r="E168" s="7" t="inlineStr">
        <is>
          <t>Tea A</t>
        </is>
      </c>
      <c r="F168" s="8" t="n">
        <v>103</v>
      </c>
      <c r="G168" s="9" t="n">
        <v>120</v>
      </c>
      <c r="H168" s="47" t="n"/>
      <c r="I168" s="7" t="inlineStr">
        <is>
          <t>Paid</t>
        </is>
      </c>
    </row>
    <row r="169">
      <c r="A169" s="46" t="n">
        <v>46324</v>
      </c>
      <c r="B169" s="7" t="inlineStr">
        <is>
          <t>INV-2026-0167</t>
        </is>
      </c>
      <c r="C169" s="7" t="inlineStr">
        <is>
          <t>North</t>
        </is>
      </c>
      <c r="D169" s="7" t="inlineStr">
        <is>
          <t>Neha Gupta</t>
        </is>
      </c>
      <c r="E169" s="7" t="inlineStr">
        <is>
          <t>Tea B</t>
        </is>
      </c>
      <c r="F169" s="8" t="n">
        <v>39</v>
      </c>
      <c r="G169" s="9" t="n">
        <v>95</v>
      </c>
      <c r="H169" s="47" t="n"/>
      <c r="I169" s="7" t="inlineStr">
        <is>
          <t>Paid</t>
        </is>
      </c>
    </row>
    <row r="170">
      <c r="A170" s="46" t="n">
        <v>46324</v>
      </c>
      <c r="B170" s="7" t="inlineStr">
        <is>
          <t>INV-2026-0168</t>
        </is>
      </c>
      <c r="C170" s="7" t="inlineStr">
        <is>
          <t>West</t>
        </is>
      </c>
      <c r="D170" s="7" t="inlineStr">
        <is>
          <t>Sneha Rao</t>
        </is>
      </c>
      <c r="E170" s="7" t="inlineStr">
        <is>
          <t>Tea C</t>
        </is>
      </c>
      <c r="F170" s="8" t="n">
        <v>9</v>
      </c>
      <c r="G170" s="9" t="n">
        <v>150</v>
      </c>
      <c r="H170" s="47" t="n"/>
      <c r="I170" s="7" t="inlineStr">
        <is>
          <t>Paid</t>
        </is>
      </c>
    </row>
    <row r="171">
      <c r="A171" s="46" t="n">
        <v>46324</v>
      </c>
      <c r="B171" s="7" t="inlineStr">
        <is>
          <t>INV-2026-0169</t>
        </is>
      </c>
      <c r="C171" s="7" t="inlineStr">
        <is>
          <t>West</t>
        </is>
      </c>
      <c r="D171" s="7" t="inlineStr">
        <is>
          <t>Sneha Rao</t>
        </is>
      </c>
      <c r="E171" s="7" t="inlineStr">
        <is>
          <t>Tea B</t>
        </is>
      </c>
      <c r="F171" s="8" t="n">
        <v>59</v>
      </c>
      <c r="G171" s="9" t="n">
        <v>95</v>
      </c>
      <c r="H171" s="47" t="n"/>
      <c r="I171" s="7" t="inlineStr">
        <is>
          <t>Pending</t>
        </is>
      </c>
    </row>
    <row r="172">
      <c r="A172" s="46" t="n">
        <v>46325</v>
      </c>
      <c r="B172" s="7" t="inlineStr">
        <is>
          <t>INV-2026-0170</t>
        </is>
      </c>
      <c r="C172" s="7" t="inlineStr">
        <is>
          <t>West</t>
        </is>
      </c>
      <c r="D172" s="7" t="inlineStr">
        <is>
          <t>Sneha Rao</t>
        </is>
      </c>
      <c r="E172" s="7" t="inlineStr">
        <is>
          <t>Tea A</t>
        </is>
      </c>
      <c r="F172" s="8" t="n">
        <v>115</v>
      </c>
      <c r="G172" s="9" t="n">
        <v>120</v>
      </c>
      <c r="H172" s="47" t="n"/>
      <c r="I172" s="7" t="inlineStr">
        <is>
          <t>Paid</t>
        </is>
      </c>
    </row>
    <row r="173">
      <c r="A173" s="46" t="n">
        <v>46325</v>
      </c>
      <c r="B173" s="7" t="inlineStr">
        <is>
          <t>INV-2026-0171</t>
        </is>
      </c>
      <c r="C173" s="7" t="inlineStr">
        <is>
          <t>East</t>
        </is>
      </c>
      <c r="D173" s="7" t="inlineStr">
        <is>
          <t>Rahul Sharma</t>
        </is>
      </c>
      <c r="E173" s="7" t="inlineStr">
        <is>
          <t>Tea C</t>
        </is>
      </c>
      <c r="F173" s="8" t="n">
        <v>101</v>
      </c>
      <c r="G173" s="9" t="n">
        <v>150</v>
      </c>
      <c r="H173" s="47" t="n"/>
      <c r="I173" s="7" t="inlineStr">
        <is>
          <t>Paid</t>
        </is>
      </c>
    </row>
    <row r="174">
      <c r="A174" s="46" t="n">
        <v>46325</v>
      </c>
      <c r="B174" s="7" t="inlineStr">
        <is>
          <t>INV-2026-0172</t>
        </is>
      </c>
      <c r="C174" s="7" t="inlineStr">
        <is>
          <t>North</t>
        </is>
      </c>
      <c r="D174" s="7" t="inlineStr">
        <is>
          <t>Neha Gupta</t>
        </is>
      </c>
      <c r="E174" s="7" t="inlineStr">
        <is>
          <t>Tea B</t>
        </is>
      </c>
      <c r="F174" s="8" t="n">
        <v>68</v>
      </c>
      <c r="G174" s="9" t="n">
        <v>95</v>
      </c>
      <c r="H174" s="47" t="n"/>
      <c r="I174" s="7" t="inlineStr">
        <is>
          <t>Pending</t>
        </is>
      </c>
    </row>
    <row r="175">
      <c r="A175" s="46" t="n">
        <v>46326</v>
      </c>
      <c r="B175" s="7" t="inlineStr">
        <is>
          <t>INV-2026-0173</t>
        </is>
      </c>
      <c r="C175" s="7" t="inlineStr">
        <is>
          <t>North</t>
        </is>
      </c>
      <c r="D175" s="7" t="inlineStr">
        <is>
          <t>Vikram Singh</t>
        </is>
      </c>
      <c r="E175" s="7" t="inlineStr">
        <is>
          <t>Tea C</t>
        </is>
      </c>
      <c r="F175" s="8" t="n">
        <v>24</v>
      </c>
      <c r="G175" s="9" t="n">
        <v>150</v>
      </c>
      <c r="H175" s="47" t="n"/>
      <c r="I175" s="7" t="inlineStr">
        <is>
          <t>Paid</t>
        </is>
      </c>
    </row>
    <row r="176">
      <c r="A176" s="46" t="n">
        <v>46326</v>
      </c>
      <c r="B176" s="7" t="inlineStr">
        <is>
          <t>INV-2026-0174</t>
        </is>
      </c>
      <c r="C176" s="7" t="inlineStr">
        <is>
          <t>West</t>
        </is>
      </c>
      <c r="D176" s="7" t="inlineStr">
        <is>
          <t>Amit Patel</t>
        </is>
      </c>
      <c r="E176" s="7" t="inlineStr">
        <is>
          <t>Tea C</t>
        </is>
      </c>
      <c r="F176" s="8" t="n">
        <v>46</v>
      </c>
      <c r="G176" s="9" t="n">
        <v>150</v>
      </c>
      <c r="H176" s="47" t="n"/>
      <c r="I176" s="7" t="inlineStr">
        <is>
          <t>Pending</t>
        </is>
      </c>
    </row>
    <row r="177">
      <c r="A177" s="46" t="n">
        <v>46326</v>
      </c>
      <c r="B177" s="7" t="inlineStr">
        <is>
          <t>INV-2026-0175</t>
        </is>
      </c>
      <c r="C177" s="7" t="inlineStr">
        <is>
          <t>South</t>
        </is>
      </c>
      <c r="D177" s="7" t="inlineStr">
        <is>
          <t>Arjun Reddy</t>
        </is>
      </c>
      <c r="E177" s="7" t="inlineStr">
        <is>
          <t>Tea A</t>
        </is>
      </c>
      <c r="F177" s="8" t="n">
        <v>16</v>
      </c>
      <c r="G177" s="9" t="n">
        <v>120</v>
      </c>
      <c r="H177" s="47" t="n"/>
      <c r="I177" s="7" t="inlineStr">
        <is>
          <t>Paid</t>
        </is>
      </c>
    </row>
    <row r="178">
      <c r="A178" s="46" t="n">
        <v>46326</v>
      </c>
      <c r="B178" s="7" t="inlineStr">
        <is>
          <t>INV-2026-0176</t>
        </is>
      </c>
      <c r="C178" s="7" t="inlineStr">
        <is>
          <t>East</t>
        </is>
      </c>
      <c r="D178" s="7" t="inlineStr">
        <is>
          <t>Pooja Nair</t>
        </is>
      </c>
      <c r="E178" s="7" t="inlineStr">
        <is>
          <t>Tea B</t>
        </is>
      </c>
      <c r="F178" s="8" t="n">
        <v>33</v>
      </c>
      <c r="G178" s="9" t="n">
        <v>95</v>
      </c>
      <c r="H178" s="47" t="n"/>
      <c r="I178" s="7" t="inlineStr">
        <is>
          <t>Paid</t>
        </is>
      </c>
    </row>
    <row r="179">
      <c r="A179" s="46" t="n">
        <v>46326</v>
      </c>
      <c r="B179" s="7" t="inlineStr">
        <is>
          <t>INV-2026-0177</t>
        </is>
      </c>
      <c r="C179" s="7" t="inlineStr">
        <is>
          <t>West</t>
        </is>
      </c>
      <c r="D179" s="7" t="inlineStr">
        <is>
          <t>Amit Patel</t>
        </is>
      </c>
      <c r="E179" s="7" t="inlineStr">
        <is>
          <t>Tea A</t>
        </is>
      </c>
      <c r="F179" s="8" t="n">
        <v>46</v>
      </c>
      <c r="G179" s="9" t="n">
        <v>120</v>
      </c>
      <c r="H179" s="47" t="n"/>
      <c r="I179" s="7" t="inlineStr">
        <is>
          <t>Pending</t>
        </is>
      </c>
    </row>
    <row r="180">
      <c r="A180" s="46" t="n">
        <v>46326</v>
      </c>
      <c r="B180" s="7" t="inlineStr">
        <is>
          <t>INV-2026-0178</t>
        </is>
      </c>
      <c r="C180" s="7" t="inlineStr">
        <is>
          <t>East</t>
        </is>
      </c>
      <c r="D180" s="7" t="inlineStr">
        <is>
          <t>Pooja Nair</t>
        </is>
      </c>
      <c r="E180" s="7" t="inlineStr">
        <is>
          <t>Tea B</t>
        </is>
      </c>
      <c r="F180" s="8" t="n">
        <v>30</v>
      </c>
      <c r="G180" s="9" t="n">
        <v>95</v>
      </c>
      <c r="H180" s="47" t="n"/>
      <c r="I180" s="7" t="inlineStr">
        <is>
          <t>Paid</t>
        </is>
      </c>
    </row>
    <row r="181">
      <c r="A181" s="46" t="n">
        <v>46326</v>
      </c>
      <c r="B181" s="7" t="inlineStr">
        <is>
          <t>INV-2026-0179</t>
        </is>
      </c>
      <c r="C181" s="7" t="inlineStr">
        <is>
          <t>South</t>
        </is>
      </c>
      <c r="D181" s="7" t="inlineStr">
        <is>
          <t>Arjun Reddy</t>
        </is>
      </c>
      <c r="E181" s="7" t="inlineStr">
        <is>
          <t>Tea B</t>
        </is>
      </c>
      <c r="F181" s="8" t="n">
        <v>62</v>
      </c>
      <c r="G181" s="9" t="n">
        <v>95</v>
      </c>
      <c r="H181" s="47" t="n"/>
      <c r="I181" s="7" t="inlineStr">
        <is>
          <t>Pending</t>
        </is>
      </c>
    </row>
    <row r="182">
      <c r="A182" s="46" t="n">
        <v>46326</v>
      </c>
      <c r="B182" s="7" t="inlineStr">
        <is>
          <t>INV-2026-0180</t>
        </is>
      </c>
      <c r="C182" s="7" t="inlineStr">
        <is>
          <t>South</t>
        </is>
      </c>
      <c r="D182" s="7" t="inlineStr">
        <is>
          <t>Arjun Reddy</t>
        </is>
      </c>
      <c r="E182" s="7" t="inlineStr">
        <is>
          <t>Tea C</t>
        </is>
      </c>
      <c r="F182" s="8" t="n">
        <v>42</v>
      </c>
      <c r="G182" s="9" t="n">
        <v>150</v>
      </c>
      <c r="H182" s="47" t="n"/>
      <c r="I182" s="7" t="inlineStr">
        <is>
          <t>Paid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I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36" customHeight="1">
      <c r="B2" s="10" t="inlineStr">
        <is>
          <t>SALES MIS REPORT</t>
        </is>
      </c>
    </row>
    <row r="3" ht="20" customHeight="1">
      <c r="B3" s="11" t="inlineStr">
        <is>
          <t>Reporting Period:  October 2026</t>
        </is>
      </c>
    </row>
    <row r="5" ht="18" customHeight="1">
      <c r="B5" s="12" t="inlineStr">
        <is>
          <t>Total Sales</t>
        </is>
      </c>
      <c r="D5" s="12" t="inlineStr">
        <is>
          <t>Total Orders</t>
        </is>
      </c>
      <c r="F5" s="12" t="inlineStr">
        <is>
          <t>Total Units Sold</t>
        </is>
      </c>
      <c r="H5" s="12" t="inlineStr">
        <is>
          <t>Average Sales / Order</t>
        </is>
      </c>
    </row>
    <row r="6" ht="30" customHeight="1">
      <c r="B6" s="48" t="n"/>
      <c r="D6" s="49" t="n"/>
      <c r="F6" s="49" t="n"/>
      <c r="H6" s="48" t="n"/>
    </row>
    <row r="8" ht="18" customHeight="1">
      <c r="B8" s="12" t="inlineStr">
        <is>
          <t>Pending Sales Amount</t>
        </is>
      </c>
    </row>
    <row r="9" ht="30" customHeight="1">
      <c r="B9" s="48" t="n"/>
    </row>
    <row r="11" ht="20" customHeight="1">
      <c r="B11" s="15" t="inlineStr">
        <is>
          <t>REGION-WISE SALES (October 2026)</t>
        </is>
      </c>
      <c r="F11" s="15" t="inlineStr">
        <is>
          <t>PRODUCT-WISE SALES (October 2026)</t>
        </is>
      </c>
    </row>
    <row r="12">
      <c r="B12" s="16" t="inlineStr">
        <is>
          <t>Region</t>
        </is>
      </c>
      <c r="C12" s="16" t="inlineStr">
        <is>
          <t>Sales Amount</t>
        </is>
      </c>
      <c r="D12" s="16" t="inlineStr">
        <is>
          <t>% of Total</t>
        </is>
      </c>
      <c r="F12" s="16" t="inlineStr">
        <is>
          <t>Product</t>
        </is>
      </c>
      <c r="G12" s="16" t="inlineStr">
        <is>
          <t>Sales Amount</t>
        </is>
      </c>
      <c r="H12" s="16" t="inlineStr">
        <is>
          <t>% of Total</t>
        </is>
      </c>
    </row>
    <row r="13">
      <c r="B13" s="7" t="inlineStr">
        <is>
          <t>East</t>
        </is>
      </c>
      <c r="C13" s="47" t="n"/>
      <c r="D13" s="50" t="n"/>
      <c r="F13" s="7" t="inlineStr">
        <is>
          <t>Tea A</t>
        </is>
      </c>
      <c r="G13" s="47" t="n"/>
      <c r="H13" s="50" t="n"/>
    </row>
    <row r="14">
      <c r="B14" s="7" t="inlineStr">
        <is>
          <t>West</t>
        </is>
      </c>
      <c r="C14" s="47" t="n"/>
      <c r="D14" s="50" t="n"/>
      <c r="F14" s="7" t="inlineStr">
        <is>
          <t>Tea B</t>
        </is>
      </c>
      <c r="G14" s="47" t="n"/>
      <c r="H14" s="50" t="n"/>
    </row>
    <row r="15">
      <c r="B15" s="7" t="inlineStr">
        <is>
          <t>North</t>
        </is>
      </c>
      <c r="C15" s="47" t="n"/>
      <c r="D15" s="50" t="n"/>
      <c r="F15" s="7" t="inlineStr">
        <is>
          <t>Tea C</t>
        </is>
      </c>
      <c r="G15" s="47" t="n"/>
      <c r="H15" s="50" t="n"/>
    </row>
    <row r="16">
      <c r="B16" s="7" t="inlineStr">
        <is>
          <t>South</t>
        </is>
      </c>
      <c r="C16" s="47" t="n"/>
      <c r="D16" s="50" t="n"/>
      <c r="F16" s="18" t="inlineStr">
        <is>
          <t>Total</t>
        </is>
      </c>
      <c r="G16" s="51" t="n"/>
      <c r="H16" s="52" t="n"/>
    </row>
    <row r="17">
      <c r="B17" s="18" t="inlineStr">
        <is>
          <t>Total</t>
        </is>
      </c>
      <c r="C17" s="51" t="n"/>
      <c r="D17" s="52" t="n"/>
    </row>
    <row r="18" ht="28" customHeight="1">
      <c r="B18" s="21" t="inlineStr">
        <is>
          <t>Fill the yellow cells with formulas (see Start_Here). Never type the numbers by hand: the self-check on Start_Here turns green when your answers match the video.</t>
        </is>
      </c>
    </row>
  </sheetData>
  <mergeCells count="15">
    <mergeCell ref="B18:I18"/>
    <mergeCell ref="D6:E6"/>
    <mergeCell ref="B6:C6"/>
    <mergeCell ref="B11:D11"/>
    <mergeCell ref="H6:I6"/>
    <mergeCell ref="B5:C5"/>
    <mergeCell ref="B2:I2"/>
    <mergeCell ref="F5:G5"/>
    <mergeCell ref="D5:E5"/>
    <mergeCell ref="B3:I3"/>
    <mergeCell ref="F6:G6"/>
    <mergeCell ref="H5:I5"/>
    <mergeCell ref="B9:C9"/>
    <mergeCell ref="B8:C8"/>
    <mergeCell ref="F11:H11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>
      <c r="B2" s="53" t="inlineStr">
        <is>
          <t>PIVOT ANALYSIS  —  build these natively in Excel 365</t>
        </is>
      </c>
    </row>
    <row r="3">
      <c r="B3" s="23" t="inlineStr"/>
    </row>
    <row r="4">
      <c r="B4" s="2" t="inlineStr">
        <is>
          <t>Do Tasks 1-5 on Start_Here first: Pivot Tables need the data as an Excel Table named SalesData (Task 2).</t>
        </is>
      </c>
    </row>
    <row r="5">
      <c r="B5" s="2" t="inlineStr">
        <is>
          <t>Then follow these steps in Microsoft Excel 365:</t>
        </is>
      </c>
    </row>
    <row r="6">
      <c r="B6" s="23" t="inlineStr"/>
    </row>
    <row r="7">
      <c r="B7" s="54" t="inlineStr">
        <is>
          <t>PIVOT TABLE 1  —  Region-wise Sales</t>
        </is>
      </c>
    </row>
    <row r="8">
      <c r="B8" s="2" t="inlineStr">
        <is>
          <t xml:space="preserve">  1. Click any cell inside the SalesData table (Raw_Data sheet).</t>
        </is>
      </c>
    </row>
    <row r="9">
      <c r="B9" s="2" t="inlineStr">
        <is>
          <t xml:space="preserve">  2. Insert &gt; PivotTable &gt; From Table/Range. Table/Range shows 'SalesData'.</t>
        </is>
      </c>
    </row>
    <row r="10">
      <c r="B10" s="2" t="inlineStr">
        <is>
          <t xml:space="preserve">  3. Place it on 'New Worksheet' (or on this sheet at cell B20).</t>
        </is>
      </c>
    </row>
    <row r="11">
      <c r="B11" s="2" t="inlineStr">
        <is>
          <t xml:space="preserve">  4. Drag 'Region' to Rows.</t>
        </is>
      </c>
    </row>
    <row r="12">
      <c r="B12" s="2" t="inlineStr">
        <is>
          <t xml:space="preserve">  5. Drag 'Sales Amount' to Values. Click it &gt; Value Field Settings &gt; Sum (NOT Count).</t>
        </is>
      </c>
    </row>
    <row r="13">
      <c r="B13" s="2" t="inlineStr">
        <is>
          <t xml:space="preserve">  6. Drag 'Date' to Filters. Open the filter and restrict to October 2026</t>
        </is>
      </c>
    </row>
    <row r="14">
      <c r="B14" s="2" t="inlineStr">
        <is>
          <t xml:space="preserve">     (or group the Date field by Months and pick Oct).</t>
        </is>
      </c>
    </row>
    <row r="15">
      <c r="B15" s="23" t="inlineStr"/>
    </row>
    <row r="16">
      <c r="B16" s="54" t="inlineStr">
        <is>
          <t>PIVOT TABLE 2  —  Product-wise Sales</t>
        </is>
      </c>
    </row>
    <row r="17">
      <c r="B17" s="2" t="inlineStr">
        <is>
          <t xml:space="preserve">  1. Insert another PivotTable from SalesData.</t>
        </is>
      </c>
    </row>
    <row r="18">
      <c r="B18" s="2" t="inlineStr">
        <is>
          <t xml:space="preserve">  2. Drag 'Product' to Rows.</t>
        </is>
      </c>
    </row>
    <row r="19">
      <c r="B19" s="2" t="inlineStr">
        <is>
          <t xml:space="preserve">  3. Drag 'Sales Amount' to Values as Sum (verify it is not Count).</t>
        </is>
      </c>
    </row>
    <row r="20">
      <c r="B20" s="2" t="inlineStr">
        <is>
          <t xml:space="preserve">  4. Drag 'Date' to Filters and set October 2026.</t>
        </is>
      </c>
    </row>
    <row r="21">
      <c r="B21" s="23" t="inlineStr"/>
    </row>
    <row r="22">
      <c r="B22" s="54" t="inlineStr">
        <is>
          <t>CHARTS</t>
        </is>
      </c>
    </row>
    <row r="23">
      <c r="B23" s="2" t="inlineStr">
        <is>
          <t xml:space="preserve">  - Region-wise Sales Performance: select PivotTable 1 &gt; PivotChart &gt; Clustered Column.</t>
        </is>
      </c>
    </row>
    <row r="24">
      <c r="B24" s="2" t="inlineStr">
        <is>
          <t xml:space="preserve">  - Product-wise Sales Analysis:   select PivotTable 2 &gt; PivotChart &gt; Pie or Bar.</t>
        </is>
      </c>
    </row>
    <row r="25">
      <c r="B25" s="2" t="inlineStr">
        <is>
          <t xml:space="preserve">  - Add data labels: right-click series &gt; Add Data Labels.</t>
        </is>
      </c>
    </row>
    <row r="26">
      <c r="B26" s="23" t="inlineStr"/>
    </row>
    <row r="27">
      <c r="B27" s="54" t="inlineStr">
        <is>
          <t>SLICERS</t>
        </is>
      </c>
    </row>
    <row r="28">
      <c r="B28" s="2" t="inlineStr">
        <is>
          <t xml:space="preserve">  1. Click a PivotTable &gt; PivotTable Analyze &gt; Insert Slicer.</t>
        </is>
      </c>
    </row>
    <row r="29">
      <c r="B29" s="2" t="inlineStr">
        <is>
          <t xml:space="preserve">  2. Tick 'Region' and 'Product' to create two slicers.</t>
        </is>
      </c>
    </row>
    <row r="30">
      <c r="B30" s="2" t="inlineStr">
        <is>
          <t xml:space="preserve">  3. To connect a slicer to BOTH pivots (they must share the same data source):</t>
        </is>
      </c>
    </row>
    <row r="31">
      <c r="B31" s="2" t="inlineStr">
        <is>
          <t xml:space="preserve">     right-click the slicer &gt; Report Connections (or Filter Connections) &gt;</t>
        </is>
      </c>
    </row>
    <row r="32">
      <c r="B32" s="2" t="inlineStr">
        <is>
          <t xml:space="preserve">     tick every PivotTable you want it to control.</t>
        </is>
      </c>
    </row>
    <row r="33">
      <c r="B33" s="2" t="inlineStr">
        <is>
          <t xml:space="preserve">  Note: Slicers only cross-filter pivots built from the SAME source (the SalesData table / one cache).</t>
        </is>
      </c>
    </row>
    <row r="34">
      <c r="B34" s="23" t="inlineStr"/>
    </row>
    <row r="35">
      <c r="B35" s="54" t="inlineStr">
        <is>
          <t>VERIFY: Sum of each pivot's 'Sales Amount' for October should match the MIS_Dashboard KPI 'Total Sales'.</t>
        </is>
      </c>
    </row>
    <row r="36">
      <c r="B36" s="54" t="inlineStr">
        <is>
          <t>REFRESH: after editing Raw_Data, PivotTable Analyze &gt; Refresh All (Ctrl+Alt+F5) to update pivots.</t>
        </is>
      </c>
    </row>
  </sheetData>
  <mergeCells count="1">
    <mergeCell ref="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Excel MIS Tutorial</dc:creator>
  <dc:title xmlns:dc="http://purl.org/dc/elements/1.1/">Sales MIS Report - Practice File</dc:title>
  <dcterms:created xmlns:dcterms="http://purl.org/dc/terms/" xmlns:xsi="http://www.w3.org/2001/XMLSchema-instance" xsi:type="dcterms:W3CDTF">2026-10-18T12:21:37Z</dcterms:created>
  <dcterms:modified xmlns:dcterms="http://purl.org/dc/terms/" xmlns:xsi="http://www.w3.org/2001/XMLSchema-instance" xsi:type="dcterms:W3CDTF">2026-10-18T17:40:51Z</dcterms:modified>
</cp:coreProperties>
</file>